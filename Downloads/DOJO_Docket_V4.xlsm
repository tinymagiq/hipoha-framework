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ables/table4.xml" ContentType="application/vnd.openxmlformats-officedocument.spreadsheetml.table+xml"/>
  <Override PartName="/xl/comments2.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defaultThemeVersion="166925"/>
  <mc:AlternateContent xmlns:mc="http://schemas.openxmlformats.org/markup-compatibility/2006">
    <mc:Choice Requires="x15">
      <x15ac:absPath xmlns:x15ac="http://schemas.microsoft.com/office/spreadsheetml/2010/11/ac" url="D:\GitHub\hipoha-framework\Downloads\"/>
    </mc:Choice>
  </mc:AlternateContent>
  <xr:revisionPtr revIDLastSave="0" documentId="13_ncr:1_{D8A8A508-565A-4578-B40B-3621DE646E42}" xr6:coauthVersionLast="45" xr6:coauthVersionMax="45" xr10:uidLastSave="{00000000-0000-0000-0000-000000000000}"/>
  <bookViews>
    <workbookView xWindow="-23148" yWindow="-108" windowWidth="23256" windowHeight="12576" firstSheet="1" activeTab="2" xr2:uid="{B3A634E3-7B0D-49A1-AC45-20D6757FFE73}"/>
  </bookViews>
  <sheets>
    <sheet name="DOJO Docket " sheetId="3" r:id="rId1"/>
    <sheet name="Roles- Members " sheetId="5" r:id="rId2"/>
    <sheet name="PUX Trim Tab" sheetId="1" r:id="rId3"/>
    <sheet name="Robotic steps" sheetId="2" r:id="rId4"/>
  </sheet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 i="2" l="1"/>
  <c r="G18" i="1"/>
  <c r="G19" i="1"/>
  <c r="G20" i="1"/>
  <c r="G21" i="1"/>
  <c r="G22" i="1"/>
  <c r="G23" i="1"/>
  <c r="G24" i="1"/>
  <c r="G25" i="1"/>
  <c r="G26" i="1"/>
  <c r="G27" i="1"/>
  <c r="G28" i="1"/>
  <c r="G29" i="1"/>
  <c r="G17"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11" i="2" l="1"/>
  <c r="G13"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Sukumar Rajagopal</author>
  </authors>
  <commentList>
    <comment ref="D16" authorId="0" shapeId="0" xr:uid="{A31D2750-E5C4-EB41-BD52-FFDBBE9029EB}">
      <text>
        <r>
          <rPr>
            <b/>
            <sz val="10"/>
            <color rgb="FF000000"/>
            <rFont val="Tahoma"/>
            <family val="2"/>
          </rPr>
          <t>Sukumar Rajagopal:</t>
        </r>
        <r>
          <rPr>
            <sz val="10"/>
            <color rgb="FF000000"/>
            <rFont val="Tahoma"/>
            <family val="2"/>
          </rPr>
          <t xml:space="preserve">
</t>
        </r>
        <r>
          <rPr>
            <sz val="10"/>
            <color rgb="FF000000"/>
            <rFont val="Calibri"/>
            <family val="2"/>
          </rPr>
          <t xml:space="preserve">Rating Scale 1. Green (0) 0-5%  
</t>
        </r>
        <r>
          <rPr>
            <sz val="10"/>
            <color rgb="FF000000"/>
            <rFont val="Calibri"/>
            <family val="2"/>
          </rPr>
          <t xml:space="preserve">2. Grey (1) - 5-50% 
</t>
        </r>
        <r>
          <rPr>
            <sz val="10"/>
            <color rgb="FF000000"/>
            <rFont val="Calibri"/>
            <family val="2"/>
          </rPr>
          <t xml:space="preserve">3. Yellow (2) - 50-80%  
</t>
        </r>
        <r>
          <rPr>
            <sz val="10"/>
            <color rgb="FF000000"/>
            <rFont val="Calibri"/>
            <family val="2"/>
          </rPr>
          <t xml:space="preserve">4. Red (3) - 80-100%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tc={CE11096A-F2C9-4C71-8C72-5F881B37D8E8}</author>
    <author>tc={FFF0B795-9BE9-428F-80D8-AB4F0C53D98A}</author>
  </authors>
  <commentList>
    <comment ref="F7" authorId="0" shapeId="0" xr:uid="{CE11096A-F2C9-4C71-8C72-5F881B37D8E8}">
      <text>
        <t>[Threaded comment]
Your version of Excel allows you to read this threaded comment; however, any edits to it will get removed if the file is opened in a newer version of Excel. Learn more: https://go.microsoft.com/fwlink/?linkid=870924
Comment:
    The average time saved by the change done. For example is 5 mins is saved in code by the current change in checking code validity</t>
      </text>
    </comment>
    <comment ref="F8" authorId="1" shapeId="0" xr:uid="{FFF0B795-9BE9-428F-80D8-AB4F0C53D98A}">
      <text>
        <t>[Threaded comment]
Your version of Excel allows you to read this threaded comment; however, any edits to it will get removed if the file is opened in a newer version of Excel. Learn more: https://go.microsoft.com/fwlink/?linkid=870924
Comment:
    Enter the average occurences of the above transaction every week. For example if 1 code review is done by each developer and there are 10 developers in the team. The value = 1 * 10 
If this activity is done once is 15 days divide the value by 2. If the above was one in a forngiht the value will become ( 1*10)/2</t>
      </text>
    </comment>
  </commentList>
</comments>
</file>

<file path=xl/sharedStrings.xml><?xml version="1.0" encoding="utf-8"?>
<sst xmlns="http://schemas.openxmlformats.org/spreadsheetml/2006/main" count="78" uniqueCount="74">
  <si>
    <t>Performance Undersupply Xray (PUX)</t>
  </si>
  <si>
    <t>Customer Journey Map  - PUX Guidelines</t>
  </si>
  <si>
    <t xml:space="preserve">1. Identity a Functional Area/ Scenario preferably in your scope of responsibility </t>
  </si>
  <si>
    <t>2.Title Of Journey</t>
  </si>
  <si>
    <t>3. Identify the Stakeholder/Customer Intention (Pick 2 from the List of Intentions below)</t>
  </si>
  <si>
    <t>Fast (Agile) , Easy (Convenient), Frugal (Economic),  Secure(Safe)</t>
  </si>
  <si>
    <t>Fast &amp; Easy</t>
  </si>
  <si>
    <r>
      <t xml:space="preserve">PUX Rating - </t>
    </r>
    <r>
      <rPr>
        <sz val="16"/>
        <color rgb="FF660033"/>
        <rFont val="Calibri"/>
        <family val="2"/>
        <scheme val="minor"/>
      </rPr>
      <t xml:space="preserve"> Please enter (0/1/2/3)  as your rating for Each Step and in the 3 columns</t>
    </r>
  </si>
  <si>
    <t>3 - Worst  Impact</t>
  </si>
  <si>
    <t>2 - Worse Impact</t>
  </si>
  <si>
    <t>1 - Bad Impact</t>
  </si>
  <si>
    <t>0 - No Impact</t>
  </si>
  <si>
    <t>Step Number</t>
  </si>
  <si>
    <t>Steps</t>
  </si>
  <si>
    <t>Negative Emotion</t>
  </si>
  <si>
    <t>High TAT</t>
  </si>
  <si>
    <t>Opposes Intention</t>
  </si>
  <si>
    <t>Trim Tab</t>
  </si>
  <si>
    <t>Comments</t>
  </si>
  <si>
    <t/>
  </si>
  <si>
    <t>'</t>
  </si>
  <si>
    <t xml:space="preserve">POD </t>
  </si>
  <si>
    <t>S No</t>
  </si>
  <si>
    <t xml:space="preserve">GROUP  TITLE </t>
  </si>
  <si>
    <t>NAME OF THE ORGANISATION:</t>
  </si>
  <si>
    <t xml:space="preserve">Role </t>
  </si>
  <si>
    <t>Name of Team  Member</t>
  </si>
  <si>
    <t>3. Identify the Stakeholder/Customer [Role]</t>
  </si>
  <si>
    <t>Count</t>
  </si>
  <si>
    <t xml:space="preserve">ROBOTIC STEPS for Customer Journey step 4 - Trim tab step </t>
  </si>
  <si>
    <t>Role</t>
  </si>
  <si>
    <t>Trim Tab Step</t>
  </si>
  <si>
    <t>Business Value calculator of A change ( Process/Technology )</t>
  </si>
  <si>
    <t>Enter the Green Cell only</t>
  </si>
  <si>
    <t>Avg Time Saved in Mins</t>
  </si>
  <si>
    <t>Avg Occurences / week</t>
  </si>
  <si>
    <t>Rough Cost ( in $$) / Hr</t>
  </si>
  <si>
    <t>Total Time in a Year ( Hrs )</t>
  </si>
  <si>
    <t>Total Cost Impact ( in $$ )</t>
  </si>
  <si>
    <t>Showing the value of a change really hard. 
This is one of reasons it is hard to get support from business team on idea from the technical team. 
This tool is supposed to ease that process. See the comments for descriptions</t>
  </si>
  <si>
    <t>Ignored.As this entails waiting for 3rd party</t>
  </si>
  <si>
    <t>First Source</t>
  </si>
  <si>
    <t>Group 4</t>
  </si>
  <si>
    <t>4B</t>
  </si>
  <si>
    <t>Senior Mgr</t>
  </si>
  <si>
    <t xml:space="preserve">Q &amp; A </t>
  </si>
  <si>
    <t>Trainer</t>
  </si>
  <si>
    <t>Senior Execs ( Project Excellence )</t>
  </si>
  <si>
    <t>Senior Manager</t>
  </si>
  <si>
    <t>Collation of weekly status report</t>
  </si>
  <si>
    <t>Status Reporting</t>
  </si>
  <si>
    <t>Send a reminder to send WSRs in excel</t>
  </si>
  <si>
    <t>Save the received the emails in a"Inputs" folder</t>
  </si>
  <si>
    <t>Open the WSR excel</t>
  </si>
  <si>
    <t>Copy them in a word template</t>
  </si>
  <si>
    <t>Repeat all 6 excels</t>
  </si>
  <si>
    <t>Self review of the Consolidated WSR.DOC</t>
  </si>
  <si>
    <t>Send this by mail to stakeholders</t>
  </si>
  <si>
    <t>If needed add comments</t>
  </si>
  <si>
    <t>Open the WSR excel
Copy them in a word template</t>
  </si>
  <si>
    <t>Open the "Inputs" folder</t>
  </si>
  <si>
    <t>Open the WSR Excel</t>
  </si>
  <si>
    <t>Open the empty word template</t>
  </si>
  <si>
    <t>Fill the necessary variable text in the MS Doc</t>
  </si>
  <si>
    <t>In the table 1 in doc paste it</t>
  </si>
  <si>
    <t>In the table 2 in doc paste it</t>
  </si>
  <si>
    <t>In the table 3 in doc paste it</t>
  </si>
  <si>
    <t>In the table 4 in doc paste it</t>
  </si>
  <si>
    <t>Copy Range from Row 1</t>
  </si>
  <si>
    <t>Copy Range from Row 2</t>
  </si>
  <si>
    <t>Copy Range from Row 3</t>
  </si>
  <si>
    <t>Copy Range from Row 4</t>
  </si>
  <si>
    <t>Repeat 4 - 12 for the other 5 excels ( loop )</t>
  </si>
  <si>
    <t>Save the Word Doc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</si>
</sst>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 #,##0.00_ ;_ * \-#,##0.00_ ;_ * &quot;-&quot;??_ ;_ @_ "/>
    <numFmt numFmtId="164" formatCode="_(* #,##0_);_(* \(#,##0\);_(* &quot;-&quot;??_);_(@_)"/>
  </numFmts>
  <fonts count="33">
    <font>
      <sz val="11"/>
      <color theme="1"/>
      <name val="Calibri"/>
      <family val="2"/>
      <scheme val="minor"/>
    </font>
    <font>
      <sz val="11"/>
      <color rgb="FFCC0099"/>
      <name val="Calibri"/>
      <family val="2"/>
      <scheme val="minor"/>
    </font>
    <font>
      <b/>
      <sz val="11"/>
      <color rgb="FFCC0099"/>
      <name val="Calibri"/>
      <family val="2"/>
      <scheme val="minor"/>
    </font>
    <font>
      <b/>
      <sz val="20"/>
      <color rgb="FF660033"/>
      <name val="Calibri"/>
      <family val="2"/>
      <scheme val="minor"/>
    </font>
    <font>
      <sz val="11"/>
      <color rgb="FF002060"/>
      <name val="Calibri"/>
      <family val="2"/>
      <scheme val="minor"/>
    </font>
    <font>
      <b/>
      <sz val="12"/>
      <color rgb="FFCC0099"/>
      <name val="Calibri"/>
      <family val="2"/>
      <scheme val="minor"/>
    </font>
    <font>
      <sz val="12"/>
      <color rgb="FFCC0099"/>
      <name val="Calibri"/>
      <family val="2"/>
      <scheme val="minor"/>
    </font>
    <font>
      <sz val="12"/>
      <color theme="1"/>
      <name val=".AppleSystemUIFont"/>
    </font>
    <font>
      <b/>
      <sz val="9"/>
      <color theme="0"/>
      <name val="Georgia"/>
      <family val="1"/>
    </font>
    <font>
      <sz val="12"/>
      <color rgb="FF660033"/>
      <name val="Calibri"/>
      <family val="2"/>
      <scheme val="minor"/>
    </font>
    <font>
      <b/>
      <sz val="16"/>
      <color rgb="FF660033"/>
      <name val="Calibri"/>
      <family val="2"/>
      <scheme val="minor"/>
    </font>
    <font>
      <sz val="16"/>
      <color rgb="FF660033"/>
      <name val="Calibri"/>
      <family val="2"/>
      <scheme val="minor"/>
    </font>
    <font>
      <sz val="10"/>
      <color rgb="FF000000"/>
      <name val="Tahoma"/>
      <family val="2"/>
    </font>
    <font>
      <b/>
      <sz val="10"/>
      <color rgb="FF000000"/>
      <name val="Tahoma"/>
      <family val="2"/>
    </font>
    <font>
      <sz val="10"/>
      <color rgb="FF000000"/>
      <name val="Calibri"/>
      <family val="2"/>
    </font>
    <font>
      <b/>
      <sz val="11"/>
      <color theme="1"/>
      <name val="Calibri"/>
      <family val="2"/>
      <scheme val="minor"/>
    </font>
    <font>
      <b/>
      <sz val="16"/>
      <color rgb="FF7030A0"/>
      <name val="Calibri"/>
      <family val="2"/>
      <scheme val="minor"/>
    </font>
    <font>
      <b/>
      <sz val="18"/>
      <color rgb="FF7030A0"/>
      <name val="Calibri"/>
      <family val="2"/>
      <scheme val="minor"/>
    </font>
    <font>
      <sz val="12"/>
      <color theme="1"/>
      <name val="Calibri"/>
      <family val="2"/>
      <scheme val="minor"/>
    </font>
    <font>
      <b/>
      <sz val="12"/>
      <color theme="1"/>
      <name val="Calibri"/>
      <family val="2"/>
      <scheme val="minor"/>
    </font>
    <font>
      <b/>
      <sz val="16"/>
      <color theme="1"/>
      <name val="Calibri"/>
      <family val="2"/>
      <scheme val="minor"/>
    </font>
    <font>
      <b/>
      <u/>
      <sz val="20"/>
      <color rgb="FFCC0099"/>
      <name val="Calibri"/>
      <family val="2"/>
      <scheme val="minor"/>
    </font>
    <font>
      <b/>
      <u/>
      <sz val="20"/>
      <color rgb="FF660033"/>
      <name val="Calibri"/>
      <family val="2"/>
      <scheme val="minor"/>
    </font>
    <font>
      <b/>
      <u/>
      <sz val="18"/>
      <color rgb="FF660033"/>
      <name val="Calibri"/>
      <family val="2"/>
      <scheme val="minor"/>
    </font>
    <font>
      <sz val="11"/>
      <color theme="1"/>
      <name val="Calibri"/>
      <family val="2"/>
      <scheme val="minor"/>
    </font>
    <font>
      <sz val="11"/>
      <color rgb="FF006100"/>
      <name val="Calibri"/>
      <family val="2"/>
      <scheme val="minor"/>
    </font>
    <font>
      <sz val="11"/>
      <color rgb="FF9C0006"/>
      <name val="Calibri"/>
      <family val="2"/>
      <scheme val="minor"/>
    </font>
    <font>
      <b/>
      <sz val="11"/>
      <color theme="0"/>
      <name val="Calibri"/>
      <family val="2"/>
      <scheme val="minor"/>
    </font>
    <font>
      <sz val="11"/>
      <color theme="0"/>
      <name val="Calibri"/>
      <family val="2"/>
      <scheme val="minor"/>
    </font>
    <font>
      <i/>
      <sz val="10"/>
      <color rgb="FF002060"/>
      <name val="Calibri"/>
      <family val="2"/>
      <scheme val="minor"/>
    </font>
    <font>
      <i/>
      <sz val="10"/>
      <color theme="1"/>
      <name val="Calibri"/>
      <family val="2"/>
      <scheme val="minor"/>
    </font>
    <font>
      <b/>
      <sz val="11"/>
      <color rgb="FF006100"/>
      <name val="Calibri"/>
      <family val="2"/>
      <scheme val="minor"/>
    </font>
    <font>
      <b/>
      <sz val="11"/>
      <color rgb="FF9C0006"/>
      <name val="Calibri"/>
      <family val="2"/>
      <scheme val="minor"/>
    </font>
  </fonts>
  <fills count="11">
    <fill>
      <patternFill patternType="none"/>
    </fill>
    <fill>
      <patternFill patternType="gray125"/>
    </fill>
    <fill>
      <patternFill patternType="solid">
        <fgColor rgb="FFFF99FF"/>
        <bgColor indexed="64"/>
      </patternFill>
    </fill>
    <fill>
      <patternFill patternType="solid">
        <fgColor rgb="FF660033"/>
        <bgColor indexed="64"/>
      </patternFill>
    </fill>
    <fill>
      <patternFill patternType="solid">
        <fgColor rgb="FFFFDDFF"/>
        <bgColor indexed="64"/>
      </patternFill>
    </fill>
    <fill>
      <patternFill patternType="solid">
        <fgColor theme="5" tint="0.79998168889431442"/>
        <bgColor theme="5" tint="0.79998168889431442"/>
      </patternFill>
    </fill>
    <fill>
      <patternFill patternType="solid">
        <fgColor rgb="FFC6EFCE"/>
      </patternFill>
    </fill>
    <fill>
      <patternFill patternType="solid">
        <fgColor rgb="FFFFC7CE"/>
      </patternFill>
    </fill>
    <fill>
      <patternFill patternType="solid">
        <fgColor theme="4"/>
      </patternFill>
    </fill>
    <fill>
      <patternFill patternType="solid">
        <fgColor theme="9"/>
      </patternFill>
    </fill>
    <fill>
      <patternFill patternType="solid">
        <fgColor theme="8" tint="0.59999389629810485"/>
        <bgColor indexed="64"/>
      </patternFill>
    </fill>
  </fills>
  <borders count="35">
    <border>
      <left/>
      <right/>
      <top/>
      <bottom/>
      <diagonal/>
    </border>
    <border>
      <left style="medium">
        <color rgb="FF660033"/>
      </left>
      <right style="medium">
        <color rgb="FF660033"/>
      </right>
      <top style="medium">
        <color rgb="FF660033"/>
      </top>
      <bottom style="medium">
        <color rgb="FF660033"/>
      </bottom>
      <diagonal/>
    </border>
    <border>
      <left/>
      <right style="medium">
        <color rgb="FF660033"/>
      </right>
      <top style="medium">
        <color rgb="FF660033"/>
      </top>
      <bottom style="medium">
        <color rgb="FF660033"/>
      </bottom>
      <diagonal/>
    </border>
    <border>
      <left style="medium">
        <color rgb="FF660033"/>
      </left>
      <right/>
      <top style="medium">
        <color rgb="FF660033"/>
      </top>
      <bottom/>
      <diagonal/>
    </border>
    <border>
      <left style="medium">
        <color rgb="FF660033"/>
      </left>
      <right/>
      <top/>
      <bottom/>
      <diagonal/>
    </border>
    <border>
      <left style="medium">
        <color rgb="FF660033"/>
      </left>
      <right/>
      <top/>
      <bottom style="medium">
        <color rgb="FF660033"/>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rgb="FF660033"/>
      </left>
      <right/>
      <top style="medium">
        <color rgb="FF660033"/>
      </top>
      <bottom style="thin">
        <color rgb="FF660033"/>
      </bottom>
      <diagonal/>
    </border>
    <border>
      <left style="medium">
        <color rgb="FF660033"/>
      </left>
      <right/>
      <top style="thin">
        <color rgb="FF660033"/>
      </top>
      <bottom style="thin">
        <color rgb="FF660033"/>
      </bottom>
      <diagonal/>
    </border>
    <border>
      <left style="medium">
        <color rgb="FF660033"/>
      </left>
      <right/>
      <top style="thin">
        <color rgb="FF660033"/>
      </top>
      <bottom style="medium">
        <color rgb="FF660033"/>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6">
    <xf numFmtId="0" fontId="0" fillId="0" borderId="0"/>
    <xf numFmtId="43" fontId="24" fillId="0" borderId="0" applyFont="0" applyFill="0" applyBorder="0" applyAlignment="0" applyProtection="0"/>
    <xf numFmtId="0" fontId="25" fillId="6" borderId="0" applyNumberFormat="0" applyBorder="0" applyAlignment="0" applyProtection="0"/>
    <xf numFmtId="0" fontId="26" fillId="7" borderId="0" applyNumberFormat="0" applyBorder="0" applyAlignment="0" applyProtection="0"/>
    <xf numFmtId="0" fontId="28" fillId="8" borderId="0" applyNumberFormat="0" applyBorder="0" applyAlignment="0" applyProtection="0"/>
    <xf numFmtId="0" fontId="28" fillId="9" borderId="0" applyNumberFormat="0" applyBorder="0" applyAlignment="0" applyProtection="0"/>
  </cellStyleXfs>
  <cellXfs count="87">
    <xf numFmtId="0" fontId="0" fillId="0" borderId="0" xfId="0"/>
    <xf numFmtId="0" fontId="0" fillId="0" borderId="0" xfId="0" applyAlignment="1">
      <alignment wrapText="1"/>
    </xf>
    <xf numFmtId="0" fontId="1" fillId="0" borderId="0" xfId="0" applyFont="1"/>
    <xf numFmtId="0" fontId="0" fillId="0" borderId="0" xfId="0" applyProtection="1">
      <protection locked="0"/>
    </xf>
    <xf numFmtId="0" fontId="0" fillId="0" borderId="0" xfId="0" applyAlignment="1" applyProtection="1">
      <alignment wrapText="1"/>
      <protection locked="0"/>
    </xf>
    <xf numFmtId="0" fontId="1" fillId="0" borderId="0" xfId="0" applyFont="1" applyAlignment="1" applyProtection="1">
      <alignment wrapText="1"/>
      <protection locked="0"/>
    </xf>
    <xf numFmtId="0" fontId="1" fillId="0" borderId="0" xfId="0" applyFont="1" applyProtection="1">
      <protection locked="0"/>
    </xf>
    <xf numFmtId="0" fontId="2" fillId="0" borderId="0" xfId="0" applyFont="1" applyProtection="1">
      <protection locked="0"/>
    </xf>
    <xf numFmtId="0" fontId="5" fillId="0" borderId="0" xfId="0" applyFont="1" applyAlignment="1" applyProtection="1">
      <alignment wrapText="1"/>
      <protection locked="0"/>
    </xf>
    <xf numFmtId="0" fontId="6" fillId="0" borderId="0" xfId="0" applyFont="1" applyAlignment="1" applyProtection="1">
      <alignment wrapText="1"/>
      <protection locked="0"/>
    </xf>
    <xf numFmtId="0" fontId="0" fillId="0" borderId="0" xfId="0" applyAlignment="1" applyProtection="1">
      <alignment horizontal="center" vertical="top"/>
      <protection locked="0"/>
    </xf>
    <xf numFmtId="0" fontId="4" fillId="0" borderId="0" xfId="0" applyFont="1" applyProtection="1">
      <protection locked="0"/>
    </xf>
    <xf numFmtId="0" fontId="7" fillId="0" borderId="0" xfId="0" applyFont="1" applyProtection="1">
      <protection locked="0"/>
    </xf>
    <xf numFmtId="0" fontId="3" fillId="0" borderId="0" xfId="0" applyFont="1" applyProtection="1"/>
    <xf numFmtId="0" fontId="1" fillId="0" borderId="0" xfId="0" applyFont="1" applyAlignment="1" applyProtection="1">
      <alignment wrapText="1"/>
    </xf>
    <xf numFmtId="0" fontId="1" fillId="0" borderId="0" xfId="0" applyFont="1" applyProtection="1"/>
    <xf numFmtId="0" fontId="5" fillId="0" borderId="0" xfId="0" applyFont="1" applyAlignment="1" applyProtection="1">
      <alignment wrapText="1"/>
    </xf>
    <xf numFmtId="0" fontId="6" fillId="0" borderId="0" xfId="0" applyFont="1" applyAlignment="1" applyProtection="1">
      <alignment wrapText="1"/>
    </xf>
    <xf numFmtId="0" fontId="1" fillId="0" borderId="0" xfId="0" applyFont="1" applyBorder="1" applyProtection="1"/>
    <xf numFmtId="0" fontId="8" fillId="3" borderId="1" xfId="0" applyFont="1" applyFill="1" applyBorder="1" applyAlignment="1" applyProtection="1">
      <alignment horizontal="center" vertical="top" wrapText="1"/>
    </xf>
    <xf numFmtId="0" fontId="8" fillId="3" borderId="2" xfId="0" applyFont="1" applyFill="1" applyBorder="1" applyAlignment="1" applyProtection="1">
      <alignment horizontal="center" vertical="top" wrapText="1"/>
    </xf>
    <xf numFmtId="0" fontId="0" fillId="0" borderId="0" xfId="0" applyProtection="1"/>
    <xf numFmtId="0" fontId="0" fillId="0" borderId="0" xfId="0" applyAlignment="1" applyProtection="1">
      <alignment wrapText="1"/>
    </xf>
    <xf numFmtId="0" fontId="0" fillId="0" borderId="0" xfId="0" applyAlignment="1" applyProtection="1">
      <alignment horizontal="center" vertical="top"/>
    </xf>
    <xf numFmtId="0" fontId="1" fillId="0" borderId="0" xfId="0" applyNumberFormat="1" applyFont="1" applyProtection="1"/>
    <xf numFmtId="0" fontId="7" fillId="0" borderId="0" xfId="0" quotePrefix="1" applyFont="1" applyProtection="1">
      <protection locked="0"/>
    </xf>
    <xf numFmtId="0" fontId="1" fillId="0" borderId="6" xfId="0" applyFont="1" applyBorder="1" applyProtection="1"/>
    <xf numFmtId="0" fontId="1" fillId="5" borderId="7" xfId="0" applyFont="1" applyFill="1" applyBorder="1" applyAlignment="1">
      <alignment horizontal="center" wrapText="1"/>
    </xf>
    <xf numFmtId="0" fontId="1" fillId="0" borderId="8" xfId="0" applyFont="1" applyBorder="1" applyProtection="1"/>
    <xf numFmtId="0" fontId="0" fillId="0" borderId="9" xfId="0" applyBorder="1" applyProtection="1"/>
    <xf numFmtId="0" fontId="1" fillId="5" borderId="10" xfId="0" applyFont="1" applyFill="1" applyBorder="1" applyAlignment="1">
      <alignment horizontal="center" wrapText="1"/>
    </xf>
    <xf numFmtId="0" fontId="0" fillId="0" borderId="11" xfId="0" applyBorder="1" applyProtection="1"/>
    <xf numFmtId="0" fontId="1" fillId="5" borderId="12" xfId="0" applyFont="1" applyFill="1" applyBorder="1" applyAlignment="1">
      <alignment horizontal="center" wrapText="1"/>
    </xf>
    <xf numFmtId="0" fontId="1" fillId="0" borderId="13" xfId="0" applyFont="1" applyBorder="1" applyProtection="1"/>
    <xf numFmtId="0" fontId="1" fillId="0" borderId="14" xfId="0" applyFont="1" applyBorder="1" applyProtection="1"/>
    <xf numFmtId="0" fontId="9" fillId="4" borderId="15" xfId="0" applyFont="1" applyFill="1" applyBorder="1" applyAlignment="1" applyProtection="1">
      <alignment wrapText="1"/>
    </xf>
    <xf numFmtId="0" fontId="9" fillId="4" borderId="16" xfId="0" applyFont="1" applyFill="1" applyBorder="1" applyAlignment="1" applyProtection="1">
      <alignment wrapText="1"/>
    </xf>
    <xf numFmtId="0" fontId="9" fillId="4" borderId="17" xfId="0" applyFont="1" applyFill="1" applyBorder="1" applyAlignment="1" applyProtection="1">
      <alignment wrapText="1"/>
    </xf>
    <xf numFmtId="0" fontId="7" fillId="0" borderId="0" xfId="0" applyFont="1" applyAlignment="1" applyProtection="1">
      <alignment wrapText="1"/>
      <protection locked="0"/>
    </xf>
    <xf numFmtId="0" fontId="15" fillId="0" borderId="0" xfId="0" applyFont="1"/>
    <xf numFmtId="0" fontId="6" fillId="0" borderId="0" xfId="0" applyFont="1" applyBorder="1" applyAlignment="1" applyProtection="1">
      <alignment horizontal="left" wrapText="1"/>
      <protection locked="0"/>
    </xf>
    <xf numFmtId="0" fontId="19" fillId="0" borderId="0" xfId="0" applyFont="1"/>
    <xf numFmtId="0" fontId="20" fillId="0" borderId="0" xfId="0" applyFont="1" applyAlignment="1">
      <alignment horizontal="center"/>
    </xf>
    <xf numFmtId="0" fontId="20" fillId="0" borderId="0" xfId="0" applyFont="1"/>
    <xf numFmtId="0" fontId="16" fillId="0" borderId="28" xfId="0" applyFont="1" applyBorder="1"/>
    <xf numFmtId="0" fontId="0" fillId="0" borderId="28" xfId="0" applyBorder="1"/>
    <xf numFmtId="0" fontId="0" fillId="0" borderId="29" xfId="0" applyBorder="1"/>
    <xf numFmtId="0" fontId="0" fillId="0" borderId="30" xfId="0" applyBorder="1"/>
    <xf numFmtId="0" fontId="0" fillId="0" borderId="0" xfId="0" applyBorder="1"/>
    <xf numFmtId="0" fontId="0" fillId="0" borderId="31" xfId="0" applyBorder="1"/>
    <xf numFmtId="0" fontId="17" fillId="0" borderId="0" xfId="0" applyFont="1" applyBorder="1"/>
    <xf numFmtId="0" fontId="16" fillId="0" borderId="0" xfId="0" applyFont="1" applyBorder="1"/>
    <xf numFmtId="0" fontId="0" fillId="0" borderId="32" xfId="0" applyBorder="1"/>
    <xf numFmtId="0" fontId="0" fillId="0" borderId="33" xfId="0" applyBorder="1"/>
    <xf numFmtId="0" fontId="0" fillId="0" borderId="34" xfId="0" applyBorder="1"/>
    <xf numFmtId="0" fontId="21" fillId="0" borderId="27" xfId="0" applyFont="1" applyBorder="1" applyAlignment="1">
      <alignment horizontal="right"/>
    </xf>
    <xf numFmtId="0" fontId="22" fillId="0" borderId="30" xfId="0" applyFont="1" applyBorder="1" applyAlignment="1">
      <alignment horizontal="right"/>
    </xf>
    <xf numFmtId="0" fontId="23" fillId="0" borderId="30" xfId="0" applyFont="1" applyBorder="1" applyAlignment="1">
      <alignment horizontal="right"/>
    </xf>
    <xf numFmtId="0" fontId="20" fillId="0" borderId="0" xfId="0" applyFont="1" applyAlignment="1">
      <alignment horizontal="center" vertical="center"/>
    </xf>
    <xf numFmtId="0" fontId="0" fillId="0" borderId="0" xfId="0" applyAlignment="1">
      <alignment horizontal="center" vertical="center"/>
    </xf>
    <xf numFmtId="0" fontId="6" fillId="0" borderId="23" xfId="0" applyFont="1" applyBorder="1" applyAlignment="1" applyProtection="1">
      <alignment wrapText="1"/>
      <protection locked="0"/>
    </xf>
    <xf numFmtId="0" fontId="29" fillId="10" borderId="0" xfId="0" applyFont="1" applyFill="1" applyAlignment="1">
      <alignment horizontal="left" vertical="top" wrapText="1"/>
    </xf>
    <xf numFmtId="0" fontId="30" fillId="0" borderId="0" xfId="0" applyFont="1" applyAlignment="1">
      <alignment horizontal="left" vertical="top" wrapText="1"/>
    </xf>
    <xf numFmtId="0" fontId="31" fillId="6" borderId="0" xfId="2" applyFont="1"/>
    <xf numFmtId="0" fontId="27" fillId="9" borderId="0" xfId="5" applyFont="1"/>
    <xf numFmtId="0" fontId="32" fillId="7" borderId="0" xfId="3" applyFont="1"/>
    <xf numFmtId="164" fontId="32" fillId="7" borderId="0" xfId="1" applyNumberFormat="1" applyFont="1" applyFill="1"/>
    <xf numFmtId="0" fontId="29" fillId="10" borderId="0" xfId="0" applyFont="1" applyFill="1" applyAlignment="1">
      <alignment vertical="top" wrapText="1"/>
    </xf>
    <xf numFmtId="0" fontId="15" fillId="0" borderId="0" xfId="0" applyFont="1" applyAlignment="1">
      <alignment vertical="top"/>
    </xf>
    <xf numFmtId="0" fontId="0" fillId="0" borderId="0" xfId="0" applyAlignment="1">
      <alignment vertical="top"/>
    </xf>
    <xf numFmtId="0" fontId="18" fillId="0" borderId="0" xfId="0" applyFont="1" applyAlignment="1" applyProtection="1">
      <alignment horizontal="left" wrapText="1"/>
      <protection locked="0"/>
    </xf>
    <xf numFmtId="0" fontId="18" fillId="0" borderId="0" xfId="0" applyFont="1" applyAlignment="1" applyProtection="1">
      <alignment horizontal="center" vertical="center" wrapText="1"/>
      <protection locked="0"/>
    </xf>
    <xf numFmtId="0" fontId="0" fillId="0" borderId="0" xfId="0" applyAlignment="1">
      <alignment vertical="top" wrapText="1"/>
    </xf>
    <xf numFmtId="0" fontId="10" fillId="2" borderId="3" xfId="0" applyFont="1" applyFill="1" applyBorder="1" applyAlignment="1" applyProtection="1">
      <alignment horizontal="left" vertical="center" wrapText="1"/>
    </xf>
    <xf numFmtId="0" fontId="10" fillId="2" borderId="4" xfId="0" applyFont="1" applyFill="1" applyBorder="1" applyAlignment="1" applyProtection="1">
      <alignment horizontal="left" vertical="center"/>
    </xf>
    <xf numFmtId="0" fontId="10" fillId="2" borderId="5" xfId="0" applyFont="1" applyFill="1" applyBorder="1" applyAlignment="1" applyProtection="1">
      <alignment horizontal="left" vertical="center"/>
    </xf>
    <xf numFmtId="0" fontId="6" fillId="0" borderId="21" xfId="0" applyFont="1" applyBorder="1" applyAlignment="1" applyProtection="1">
      <alignment horizontal="left" wrapText="1"/>
      <protection locked="0"/>
    </xf>
    <xf numFmtId="0" fontId="6" fillId="0" borderId="22" xfId="0" applyFont="1" applyBorder="1" applyAlignment="1" applyProtection="1">
      <alignment horizontal="left" wrapText="1"/>
      <protection locked="0"/>
    </xf>
    <xf numFmtId="0" fontId="6" fillId="0" borderId="23" xfId="0" applyFont="1" applyBorder="1" applyAlignment="1" applyProtection="1">
      <alignment horizontal="left" wrapText="1"/>
      <protection locked="0"/>
    </xf>
    <xf numFmtId="0" fontId="6" fillId="0" borderId="24" xfId="0" applyFont="1" applyBorder="1" applyAlignment="1" applyProtection="1">
      <alignment horizontal="left" wrapText="1"/>
      <protection locked="0"/>
    </xf>
    <xf numFmtId="0" fontId="6" fillId="0" borderId="25" xfId="0" applyFont="1" applyBorder="1" applyAlignment="1" applyProtection="1">
      <alignment horizontal="left" wrapText="1"/>
      <protection locked="0"/>
    </xf>
    <xf numFmtId="0" fontId="6" fillId="0" borderId="26" xfId="0" applyFont="1" applyBorder="1" applyAlignment="1" applyProtection="1">
      <alignment horizontal="left" wrapText="1"/>
      <protection locked="0"/>
    </xf>
    <xf numFmtId="0" fontId="6" fillId="0" borderId="18" xfId="0" applyFont="1" applyBorder="1" applyAlignment="1" applyProtection="1">
      <alignment horizontal="left" wrapText="1"/>
      <protection locked="0"/>
    </xf>
    <xf numFmtId="0" fontId="6" fillId="0" borderId="19" xfId="0" applyFont="1" applyBorder="1" applyAlignment="1" applyProtection="1">
      <alignment horizontal="left" wrapText="1"/>
      <protection locked="0"/>
    </xf>
    <xf numFmtId="0" fontId="6" fillId="0" borderId="20" xfId="0" applyFont="1" applyBorder="1" applyAlignment="1" applyProtection="1">
      <alignment horizontal="left" wrapText="1"/>
      <protection locked="0"/>
    </xf>
    <xf numFmtId="0" fontId="27" fillId="8" borderId="0" xfId="4" applyFont="1" applyAlignment="1">
      <alignment horizontal="center"/>
    </xf>
    <xf numFmtId="0" fontId="29" fillId="10" borderId="0" xfId="0" applyFont="1" applyFill="1" applyAlignment="1">
      <alignment horizontal="left" vertical="top" wrapText="1"/>
    </xf>
  </cellXfs>
  <cellStyles count="6">
    <cellStyle name="Accent1" xfId="4" builtinId="29"/>
    <cellStyle name="Accent6" xfId="5" builtinId="49"/>
    <cellStyle name="Bad" xfId="3" builtinId="27"/>
    <cellStyle name="Comma" xfId="1" builtinId="3"/>
    <cellStyle name="Good" xfId="2" builtinId="26"/>
    <cellStyle name="Normal" xfId="0" builtinId="0"/>
  </cellStyles>
  <dxfs count="16">
    <dxf>
      <font>
        <b/>
        <i val="0"/>
        <strike val="0"/>
        <condense val="0"/>
        <extend val="0"/>
        <outline val="0"/>
        <shadow val="0"/>
        <u val="none"/>
        <vertAlign val="baseline"/>
        <sz val="12"/>
        <color theme="1"/>
        <name val="Calibri"/>
        <family val="2"/>
        <scheme val="minor"/>
      </font>
    </dxf>
    <dxf>
      <font>
        <strike val="0"/>
        <outline val="0"/>
        <shadow val="0"/>
        <u val="none"/>
        <vertAlign val="baseline"/>
        <color rgb="FFCC0099"/>
        <name val="Calibri"/>
        <family val="2"/>
        <scheme val="minor"/>
      </font>
      <protection locked="0" hidden="0"/>
    </dxf>
    <dxf>
      <font>
        <strike val="0"/>
        <outline val="0"/>
        <shadow val="0"/>
        <u val="none"/>
        <vertAlign val="baseline"/>
        <color rgb="FFCC0099"/>
        <name val="Calibri"/>
        <family val="2"/>
        <scheme val="minor"/>
      </font>
      <numFmt numFmtId="0" formatCode="General"/>
      <protection locked="1" hidden="0"/>
    </dxf>
    <dxf>
      <font>
        <strike val="0"/>
        <outline val="0"/>
        <shadow val="0"/>
        <u val="none"/>
        <vertAlign val="baseline"/>
        <color rgb="FFCC0099"/>
        <name val="Calibri"/>
        <family val="2"/>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family val="2"/>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family val="2"/>
        <scheme val="minor"/>
      </font>
      <alignment horizontal="general" vertical="bottom" textRotation="0" wrapText="1" indent="0" justifyLastLine="0" shrinkToFit="0" readingOrder="0"/>
      <protection locked="0" hidden="0"/>
    </dxf>
    <dxf>
      <font>
        <strike val="0"/>
        <outline val="0"/>
        <shadow val="0"/>
        <u val="none"/>
        <vertAlign val="baseline"/>
        <color rgb="FFCC0099"/>
        <name val="Calibri"/>
        <family val="2"/>
        <scheme val="minor"/>
      </font>
      <protection locked="0" hidden="0"/>
    </dxf>
    <dxf>
      <border>
        <bottom style="medium">
          <color rgb="FF660033"/>
        </bottom>
      </border>
    </dxf>
    <dxf>
      <font>
        <b/>
        <strike val="0"/>
        <outline val="0"/>
        <shadow val="0"/>
        <u val="none"/>
        <vertAlign val="baseline"/>
        <sz val="9"/>
        <color theme="0"/>
        <name val="Georgia"/>
        <family val="1"/>
        <scheme val="none"/>
      </font>
      <fill>
        <patternFill patternType="solid">
          <fgColor indexed="64"/>
          <bgColor rgb="FF660033"/>
        </patternFill>
      </fill>
      <alignment horizontal="center" vertical="top" textRotation="0" wrapText="1" indent="0" justifyLastLine="0" shrinkToFit="0" readingOrder="0"/>
      <border diagonalUp="0" diagonalDown="0">
        <left/>
        <right/>
        <top/>
        <bottom/>
      </border>
      <protection locked="1" hidden="0"/>
    </dxf>
    <dxf>
      <protection locked="0" hidden="0"/>
    </dxf>
    <dxf>
      <font>
        <strike val="0"/>
        <outline val="0"/>
        <shadow val="0"/>
        <u val="none"/>
        <vertAlign val="baseline"/>
        <sz val="11"/>
        <color rgb="FF002060"/>
        <name val="Calibri"/>
        <family val="2"/>
        <scheme val="minor"/>
      </font>
      <protection locked="0" hidden="0"/>
    </dxf>
    <dxf>
      <font>
        <strike val="0"/>
        <outline val="0"/>
        <shadow val="0"/>
        <u val="none"/>
        <vertAlign val="baseline"/>
        <sz val="11"/>
        <color rgb="FF002060"/>
        <name val="Calibri"/>
        <family val="2"/>
        <scheme val="minor"/>
      </font>
      <protection locked="0" hidden="0"/>
    </dxf>
    <dxf>
      <border>
        <bottom style="medium">
          <color rgb="FF660033"/>
        </bottom>
      </border>
    </dxf>
    <dxf>
      <font>
        <b/>
        <strike val="0"/>
        <outline val="0"/>
        <shadow val="0"/>
        <u val="none"/>
        <vertAlign val="baseline"/>
        <sz val="9"/>
        <color theme="0"/>
        <name val="Georgia"/>
        <family val="1"/>
        <scheme val="none"/>
      </font>
      <fill>
        <patternFill patternType="solid">
          <fgColor indexed="64"/>
          <bgColor rgb="FF660033"/>
        </patternFill>
      </fill>
      <alignment horizontal="center" vertical="top" textRotation="0" wrapText="1" indent="0" justifyLastLine="0" shrinkToFit="0" readingOrder="0"/>
      <border diagonalUp="0" diagonalDown="0">
        <left style="thin">
          <color indexed="64"/>
        </left>
        <right style="thin">
          <color indexed="64"/>
        </right>
        <top/>
        <bottom/>
      </border>
      <protection locked="1" hidden="0"/>
    </dxf>
    <dxf>
      <alignment horizontal="center" vertical="center" textRotation="0" indent="0" justifyLastLine="0" shrinkToFit="0" readingOrder="0"/>
    </dxf>
    <dxf>
      <alignment horizontal="center" vertical="center" textRotation="0" indent="0" justifyLastLine="0" shrinkToFit="0" readingOrder="0"/>
    </dxf>
  </dxfs>
  <tableStyles count="0" defaultTableStyle="TableStyleMedium2" defaultPivotStyle="PivotStyleLight16"/>
  <colors>
    <mruColors>
      <color rgb="FF660033"/>
      <color rgb="FFCC0099"/>
      <color rgb="FFFFDDFF"/>
      <color rgb="FFFF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2.xml"/><Relationship Id="rId5" Type="http://schemas.openxmlformats.org/officeDocument/2006/relationships/theme" Target="theme/theme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11</xdr:col>
      <xdr:colOff>431800</xdr:colOff>
      <xdr:row>82</xdr:row>
      <xdr:rowOff>25400</xdr:rowOff>
    </xdr:from>
    <xdr:to>
      <xdr:col>11</xdr:col>
      <xdr:colOff>1701800</xdr:colOff>
      <xdr:row>88</xdr:row>
      <xdr:rowOff>152400</xdr:rowOff>
    </xdr:to>
    <xdr:sp macro="" textlink="">
      <xdr:nvSpPr>
        <xdr:cNvPr id="8" name="Rounded Rectangle 7">
          <a:extLst>
            <a:ext uri="{FF2B5EF4-FFF2-40B4-BE49-F238E27FC236}">
              <a16:creationId xmlns:a16="http://schemas.microsoft.com/office/drawing/2014/main" id="{00000000-0008-0000-0000-000008000000}"/>
            </a:ext>
          </a:extLst>
        </xdr:cNvPr>
        <xdr:cNvSpPr/>
      </xdr:nvSpPr>
      <xdr:spPr>
        <a:xfrm>
          <a:off x="15875000" y="158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342900</xdr:colOff>
      <xdr:row>95</xdr:row>
      <xdr:rowOff>88900</xdr:rowOff>
    </xdr:from>
    <xdr:to>
      <xdr:col>14</xdr:col>
      <xdr:colOff>266700</xdr:colOff>
      <xdr:row>102</xdr:row>
      <xdr:rowOff>25400</xdr:rowOff>
    </xdr:to>
    <xdr:sp macro="" textlink="">
      <xdr:nvSpPr>
        <xdr:cNvPr id="9" name="Rounded Rectangle 8">
          <a:extLst>
            <a:ext uri="{FF2B5EF4-FFF2-40B4-BE49-F238E27FC236}">
              <a16:creationId xmlns:a16="http://schemas.microsoft.com/office/drawing/2014/main" id="{00000000-0008-0000-0000-000009000000}"/>
            </a:ext>
          </a:extLst>
        </xdr:cNvPr>
        <xdr:cNvSpPr/>
      </xdr:nvSpPr>
      <xdr:spPr>
        <a:xfrm>
          <a:off x="18415000" y="184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190500</xdr:colOff>
      <xdr:row>108</xdr:row>
      <xdr:rowOff>152400</xdr:rowOff>
    </xdr:from>
    <xdr:to>
      <xdr:col>18</xdr:col>
      <xdr:colOff>114300</xdr:colOff>
      <xdr:row>115</xdr:row>
      <xdr:rowOff>88900</xdr:rowOff>
    </xdr:to>
    <xdr:sp macro="" textlink="">
      <xdr:nvSpPr>
        <xdr:cNvPr id="10" name="Rounded Rectangle 9">
          <a:extLst>
            <a:ext uri="{FF2B5EF4-FFF2-40B4-BE49-F238E27FC236}">
              <a16:creationId xmlns:a16="http://schemas.microsoft.com/office/drawing/2014/main" id="{00000000-0008-0000-0000-00000A000000}"/>
            </a:ext>
          </a:extLst>
        </xdr:cNvPr>
        <xdr:cNvSpPr/>
      </xdr:nvSpPr>
      <xdr:spPr>
        <a:xfrm>
          <a:off x="20955000" y="209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38100</xdr:colOff>
      <xdr:row>122</xdr:row>
      <xdr:rowOff>25400</xdr:rowOff>
    </xdr:from>
    <xdr:to>
      <xdr:col>21</xdr:col>
      <xdr:colOff>635000</xdr:colOff>
      <xdr:row>128</xdr:row>
      <xdr:rowOff>152400</xdr:rowOff>
    </xdr:to>
    <xdr:sp macro="" textlink="">
      <xdr:nvSpPr>
        <xdr:cNvPr id="11" name="Rounded Rectangle 10">
          <a:extLst>
            <a:ext uri="{FF2B5EF4-FFF2-40B4-BE49-F238E27FC236}">
              <a16:creationId xmlns:a16="http://schemas.microsoft.com/office/drawing/2014/main" id="{00000000-0008-0000-0000-00000B000000}"/>
            </a:ext>
          </a:extLst>
        </xdr:cNvPr>
        <xdr:cNvSpPr/>
      </xdr:nvSpPr>
      <xdr:spPr>
        <a:xfrm>
          <a:off x="23495000" y="234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558800</xdr:colOff>
      <xdr:row>135</xdr:row>
      <xdr:rowOff>88900</xdr:rowOff>
    </xdr:from>
    <xdr:to>
      <xdr:col>25</xdr:col>
      <xdr:colOff>482600</xdr:colOff>
      <xdr:row>142</xdr:row>
      <xdr:rowOff>25400</xdr:rowOff>
    </xdr:to>
    <xdr:sp macro="" textlink="">
      <xdr:nvSpPr>
        <xdr:cNvPr id="12" name="Rounded Rectangle 11">
          <a:extLst>
            <a:ext uri="{FF2B5EF4-FFF2-40B4-BE49-F238E27FC236}">
              <a16:creationId xmlns:a16="http://schemas.microsoft.com/office/drawing/2014/main" id="{00000000-0008-0000-0000-00000C000000}"/>
            </a:ext>
          </a:extLst>
        </xdr:cNvPr>
        <xdr:cNvSpPr/>
      </xdr:nvSpPr>
      <xdr:spPr>
        <a:xfrm>
          <a:off x="26035000" y="260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406400</xdr:colOff>
      <xdr:row>148</xdr:row>
      <xdr:rowOff>152400</xdr:rowOff>
    </xdr:from>
    <xdr:to>
      <xdr:col>29</xdr:col>
      <xdr:colOff>330200</xdr:colOff>
      <xdr:row>155</xdr:row>
      <xdr:rowOff>88900</xdr:rowOff>
    </xdr:to>
    <xdr:sp macro="" textlink="">
      <xdr:nvSpPr>
        <xdr:cNvPr id="13" name="Rounded Rectangle 12">
          <a:extLst>
            <a:ext uri="{FF2B5EF4-FFF2-40B4-BE49-F238E27FC236}">
              <a16:creationId xmlns:a16="http://schemas.microsoft.com/office/drawing/2014/main" id="{00000000-0008-0000-0000-00000D000000}"/>
            </a:ext>
          </a:extLst>
        </xdr:cNvPr>
        <xdr:cNvSpPr/>
      </xdr:nvSpPr>
      <xdr:spPr>
        <a:xfrm>
          <a:off x="28575000" y="285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31</xdr:col>
      <xdr:colOff>254000</xdr:colOff>
      <xdr:row>162</xdr:row>
      <xdr:rowOff>25400</xdr:rowOff>
    </xdr:from>
    <xdr:to>
      <xdr:col>33</xdr:col>
      <xdr:colOff>177800</xdr:colOff>
      <xdr:row>168</xdr:row>
      <xdr:rowOff>152400</xdr:rowOff>
    </xdr:to>
    <xdr:sp macro="" textlink="">
      <xdr:nvSpPr>
        <xdr:cNvPr id="14" name="Rounded Rectangle 13">
          <a:extLst>
            <a:ext uri="{FF2B5EF4-FFF2-40B4-BE49-F238E27FC236}">
              <a16:creationId xmlns:a16="http://schemas.microsoft.com/office/drawing/2014/main" id="{00000000-0008-0000-0000-00000E000000}"/>
            </a:ext>
          </a:extLst>
        </xdr:cNvPr>
        <xdr:cNvSpPr/>
      </xdr:nvSpPr>
      <xdr:spPr>
        <a:xfrm>
          <a:off x="31115000" y="311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101600</xdr:colOff>
      <xdr:row>175</xdr:row>
      <xdr:rowOff>88900</xdr:rowOff>
    </xdr:from>
    <xdr:to>
      <xdr:col>37</xdr:col>
      <xdr:colOff>25400</xdr:colOff>
      <xdr:row>182</xdr:row>
      <xdr:rowOff>25400</xdr:rowOff>
    </xdr:to>
    <xdr:sp macro="" textlink="">
      <xdr:nvSpPr>
        <xdr:cNvPr id="15" name="Rounded Rectangle 14">
          <a:extLst>
            <a:ext uri="{FF2B5EF4-FFF2-40B4-BE49-F238E27FC236}">
              <a16:creationId xmlns:a16="http://schemas.microsoft.com/office/drawing/2014/main" id="{00000000-0008-0000-0000-00000F000000}"/>
            </a:ext>
          </a:extLst>
        </xdr:cNvPr>
        <xdr:cNvSpPr/>
      </xdr:nvSpPr>
      <xdr:spPr>
        <a:xfrm>
          <a:off x="33655000" y="336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38</xdr:col>
      <xdr:colOff>622300</xdr:colOff>
      <xdr:row>188</xdr:row>
      <xdr:rowOff>152400</xdr:rowOff>
    </xdr:from>
    <xdr:to>
      <xdr:col>40</xdr:col>
      <xdr:colOff>546100</xdr:colOff>
      <xdr:row>195</xdr:row>
      <xdr:rowOff>88900</xdr:rowOff>
    </xdr:to>
    <xdr:sp macro="" textlink="">
      <xdr:nvSpPr>
        <xdr:cNvPr id="16" name="Rounded Rectangle 15">
          <a:extLst>
            <a:ext uri="{FF2B5EF4-FFF2-40B4-BE49-F238E27FC236}">
              <a16:creationId xmlns:a16="http://schemas.microsoft.com/office/drawing/2014/main" id="{00000000-0008-0000-0000-000010000000}"/>
            </a:ext>
          </a:extLst>
        </xdr:cNvPr>
        <xdr:cNvSpPr/>
      </xdr:nvSpPr>
      <xdr:spPr>
        <a:xfrm>
          <a:off x="36195000" y="361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42</xdr:col>
      <xdr:colOff>469900</xdr:colOff>
      <xdr:row>202</xdr:row>
      <xdr:rowOff>25400</xdr:rowOff>
    </xdr:from>
    <xdr:to>
      <xdr:col>44</xdr:col>
      <xdr:colOff>393700</xdr:colOff>
      <xdr:row>208</xdr:row>
      <xdr:rowOff>152400</xdr:rowOff>
    </xdr:to>
    <xdr:sp macro="" textlink="">
      <xdr:nvSpPr>
        <xdr:cNvPr id="17" name="Rounded Rectangle 16">
          <a:extLst>
            <a:ext uri="{FF2B5EF4-FFF2-40B4-BE49-F238E27FC236}">
              <a16:creationId xmlns:a16="http://schemas.microsoft.com/office/drawing/2014/main" id="{00000000-0008-0000-0000-000011000000}"/>
            </a:ext>
          </a:extLst>
        </xdr:cNvPr>
        <xdr:cNvSpPr/>
      </xdr:nvSpPr>
      <xdr:spPr>
        <a:xfrm>
          <a:off x="38735000" y="387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11</xdr:col>
      <xdr:colOff>431800</xdr:colOff>
      <xdr:row>82</xdr:row>
      <xdr:rowOff>25400</xdr:rowOff>
    </xdr:from>
    <xdr:to>
      <xdr:col>11</xdr:col>
      <xdr:colOff>1701800</xdr:colOff>
      <xdr:row>88</xdr:row>
      <xdr:rowOff>152400</xdr:rowOff>
    </xdr:to>
    <xdr:sp macro="" textlink="">
      <xdr:nvSpPr>
        <xdr:cNvPr id="24" name="Rounded Rectangle 23">
          <a:extLst>
            <a:ext uri="{FF2B5EF4-FFF2-40B4-BE49-F238E27FC236}">
              <a16:creationId xmlns:a16="http://schemas.microsoft.com/office/drawing/2014/main" id="{00000000-0008-0000-0000-000018000000}"/>
            </a:ext>
          </a:extLst>
        </xdr:cNvPr>
        <xdr:cNvSpPr/>
      </xdr:nvSpPr>
      <xdr:spPr>
        <a:xfrm>
          <a:off x="15875000" y="158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12</xdr:col>
      <xdr:colOff>342900</xdr:colOff>
      <xdr:row>95</xdr:row>
      <xdr:rowOff>88900</xdr:rowOff>
    </xdr:from>
    <xdr:to>
      <xdr:col>14</xdr:col>
      <xdr:colOff>266700</xdr:colOff>
      <xdr:row>102</xdr:row>
      <xdr:rowOff>25400</xdr:rowOff>
    </xdr:to>
    <xdr:sp macro="" textlink="">
      <xdr:nvSpPr>
        <xdr:cNvPr id="25" name="Rounded Rectangle 24">
          <a:extLst>
            <a:ext uri="{FF2B5EF4-FFF2-40B4-BE49-F238E27FC236}">
              <a16:creationId xmlns:a16="http://schemas.microsoft.com/office/drawing/2014/main" id="{00000000-0008-0000-0000-000019000000}"/>
            </a:ext>
          </a:extLst>
        </xdr:cNvPr>
        <xdr:cNvSpPr/>
      </xdr:nvSpPr>
      <xdr:spPr>
        <a:xfrm>
          <a:off x="18415000" y="184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16</xdr:col>
      <xdr:colOff>190500</xdr:colOff>
      <xdr:row>108</xdr:row>
      <xdr:rowOff>152400</xdr:rowOff>
    </xdr:from>
    <xdr:to>
      <xdr:col>18</xdr:col>
      <xdr:colOff>114300</xdr:colOff>
      <xdr:row>115</xdr:row>
      <xdr:rowOff>88900</xdr:rowOff>
    </xdr:to>
    <xdr:sp macro="" textlink="">
      <xdr:nvSpPr>
        <xdr:cNvPr id="26" name="Rounded Rectangle 25">
          <a:extLst>
            <a:ext uri="{FF2B5EF4-FFF2-40B4-BE49-F238E27FC236}">
              <a16:creationId xmlns:a16="http://schemas.microsoft.com/office/drawing/2014/main" id="{00000000-0008-0000-0000-00001A000000}"/>
            </a:ext>
          </a:extLst>
        </xdr:cNvPr>
        <xdr:cNvSpPr/>
      </xdr:nvSpPr>
      <xdr:spPr>
        <a:xfrm>
          <a:off x="20955000" y="209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20</xdr:col>
      <xdr:colOff>38100</xdr:colOff>
      <xdr:row>122</xdr:row>
      <xdr:rowOff>25400</xdr:rowOff>
    </xdr:from>
    <xdr:to>
      <xdr:col>21</xdr:col>
      <xdr:colOff>635000</xdr:colOff>
      <xdr:row>128</xdr:row>
      <xdr:rowOff>152400</xdr:rowOff>
    </xdr:to>
    <xdr:sp macro="" textlink="">
      <xdr:nvSpPr>
        <xdr:cNvPr id="27" name="Rounded Rectangle 26">
          <a:extLst>
            <a:ext uri="{FF2B5EF4-FFF2-40B4-BE49-F238E27FC236}">
              <a16:creationId xmlns:a16="http://schemas.microsoft.com/office/drawing/2014/main" id="{00000000-0008-0000-0000-00001B000000}"/>
            </a:ext>
          </a:extLst>
        </xdr:cNvPr>
        <xdr:cNvSpPr/>
      </xdr:nvSpPr>
      <xdr:spPr>
        <a:xfrm>
          <a:off x="23495000" y="234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23</xdr:col>
      <xdr:colOff>558800</xdr:colOff>
      <xdr:row>135</xdr:row>
      <xdr:rowOff>88900</xdr:rowOff>
    </xdr:from>
    <xdr:to>
      <xdr:col>25</xdr:col>
      <xdr:colOff>482600</xdr:colOff>
      <xdr:row>142</xdr:row>
      <xdr:rowOff>25400</xdr:rowOff>
    </xdr:to>
    <xdr:sp macro="" textlink="">
      <xdr:nvSpPr>
        <xdr:cNvPr id="28" name="Rounded Rectangle 27">
          <a:extLst>
            <a:ext uri="{FF2B5EF4-FFF2-40B4-BE49-F238E27FC236}">
              <a16:creationId xmlns:a16="http://schemas.microsoft.com/office/drawing/2014/main" id="{00000000-0008-0000-0000-00001C000000}"/>
            </a:ext>
          </a:extLst>
        </xdr:cNvPr>
        <xdr:cNvSpPr/>
      </xdr:nvSpPr>
      <xdr:spPr>
        <a:xfrm>
          <a:off x="26035000" y="260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27</xdr:col>
      <xdr:colOff>406400</xdr:colOff>
      <xdr:row>148</xdr:row>
      <xdr:rowOff>152400</xdr:rowOff>
    </xdr:from>
    <xdr:to>
      <xdr:col>29</xdr:col>
      <xdr:colOff>330200</xdr:colOff>
      <xdr:row>155</xdr:row>
      <xdr:rowOff>88900</xdr:rowOff>
    </xdr:to>
    <xdr:sp macro="" textlink="">
      <xdr:nvSpPr>
        <xdr:cNvPr id="29" name="Rounded Rectangle 28">
          <a:extLst>
            <a:ext uri="{FF2B5EF4-FFF2-40B4-BE49-F238E27FC236}">
              <a16:creationId xmlns:a16="http://schemas.microsoft.com/office/drawing/2014/main" id="{00000000-0008-0000-0000-00001D000000}"/>
            </a:ext>
          </a:extLst>
        </xdr:cNvPr>
        <xdr:cNvSpPr/>
      </xdr:nvSpPr>
      <xdr:spPr>
        <a:xfrm>
          <a:off x="28575000" y="2857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31</xdr:col>
      <xdr:colOff>254000</xdr:colOff>
      <xdr:row>162</xdr:row>
      <xdr:rowOff>25400</xdr:rowOff>
    </xdr:from>
    <xdr:to>
      <xdr:col>33</xdr:col>
      <xdr:colOff>177800</xdr:colOff>
      <xdr:row>168</xdr:row>
      <xdr:rowOff>152400</xdr:rowOff>
    </xdr:to>
    <xdr:sp macro="" textlink="">
      <xdr:nvSpPr>
        <xdr:cNvPr id="30" name="Rounded Rectangle 29">
          <a:extLst>
            <a:ext uri="{FF2B5EF4-FFF2-40B4-BE49-F238E27FC236}">
              <a16:creationId xmlns:a16="http://schemas.microsoft.com/office/drawing/2014/main" id="{00000000-0008-0000-0000-00001E000000}"/>
            </a:ext>
          </a:extLst>
        </xdr:cNvPr>
        <xdr:cNvSpPr/>
      </xdr:nvSpPr>
      <xdr:spPr>
        <a:xfrm>
          <a:off x="31115000" y="3111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35</xdr:col>
      <xdr:colOff>101600</xdr:colOff>
      <xdr:row>175</xdr:row>
      <xdr:rowOff>88900</xdr:rowOff>
    </xdr:from>
    <xdr:to>
      <xdr:col>37</xdr:col>
      <xdr:colOff>25400</xdr:colOff>
      <xdr:row>182</xdr:row>
      <xdr:rowOff>25400</xdr:rowOff>
    </xdr:to>
    <xdr:sp macro="" textlink="">
      <xdr:nvSpPr>
        <xdr:cNvPr id="31" name="Rounded Rectangle 30">
          <a:extLst>
            <a:ext uri="{FF2B5EF4-FFF2-40B4-BE49-F238E27FC236}">
              <a16:creationId xmlns:a16="http://schemas.microsoft.com/office/drawing/2014/main" id="{00000000-0008-0000-0000-00001F000000}"/>
            </a:ext>
          </a:extLst>
        </xdr:cNvPr>
        <xdr:cNvSpPr/>
      </xdr:nvSpPr>
      <xdr:spPr>
        <a:xfrm>
          <a:off x="33655000" y="3365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38</xdr:col>
      <xdr:colOff>622300</xdr:colOff>
      <xdr:row>188</xdr:row>
      <xdr:rowOff>152400</xdr:rowOff>
    </xdr:from>
    <xdr:to>
      <xdr:col>40</xdr:col>
      <xdr:colOff>546100</xdr:colOff>
      <xdr:row>195</xdr:row>
      <xdr:rowOff>88900</xdr:rowOff>
    </xdr:to>
    <xdr:sp macro="" textlink="">
      <xdr:nvSpPr>
        <xdr:cNvPr id="32" name="Rounded Rectangle 31">
          <a:extLst>
            <a:ext uri="{FF2B5EF4-FFF2-40B4-BE49-F238E27FC236}">
              <a16:creationId xmlns:a16="http://schemas.microsoft.com/office/drawing/2014/main" id="{00000000-0008-0000-0000-000020000000}"/>
            </a:ext>
          </a:extLst>
        </xdr:cNvPr>
        <xdr:cNvSpPr/>
      </xdr:nvSpPr>
      <xdr:spPr>
        <a:xfrm>
          <a:off x="36195000" y="3619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42</xdr:col>
      <xdr:colOff>469900</xdr:colOff>
      <xdr:row>202</xdr:row>
      <xdr:rowOff>25400</xdr:rowOff>
    </xdr:from>
    <xdr:to>
      <xdr:col>44</xdr:col>
      <xdr:colOff>393700</xdr:colOff>
      <xdr:row>208</xdr:row>
      <xdr:rowOff>152400</xdr:rowOff>
    </xdr:to>
    <xdr:sp macro="" textlink="">
      <xdr:nvSpPr>
        <xdr:cNvPr id="33" name="Rounded Rectangle 32">
          <a:extLst>
            <a:ext uri="{FF2B5EF4-FFF2-40B4-BE49-F238E27FC236}">
              <a16:creationId xmlns:a16="http://schemas.microsoft.com/office/drawing/2014/main" id="{00000000-0008-0000-0000-000021000000}"/>
            </a:ext>
          </a:extLst>
        </xdr:cNvPr>
        <xdr:cNvSpPr/>
      </xdr:nvSpPr>
      <xdr:spPr>
        <a:xfrm>
          <a:off x="38735000" y="38735000"/>
          <a:ext cx="1270000" cy="12700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7</xdr:col>
      <xdr:colOff>28575</xdr:colOff>
      <xdr:row>12</xdr:row>
      <xdr:rowOff>28575</xdr:rowOff>
    </xdr:from>
    <xdr:to>
      <xdr:col>8</xdr:col>
      <xdr:colOff>9525</xdr:colOff>
      <xdr:row>14</xdr:row>
      <xdr:rowOff>38100</xdr:rowOff>
    </xdr:to>
    <xdr:sp macro="" textlink="">
      <xdr:nvSpPr>
        <xdr:cNvPr id="1028" name="Button 4" descr="Create Customer Journey Map" hidden="1">
          <a:extLst>
            <a:ext uri="{63B3BB69-23CF-44E3-9099-C40C66FF867C}">
              <a14:compatExt xmlns:a14="http://schemas.microsoft.com/office/drawing/2010/main"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1" i="0" u="none" strike="noStrike" baseline="0">
              <a:solidFill>
                <a:srgbClr val="993366"/>
              </a:solidFill>
              <a:latin typeface="Calibri"/>
              <a:cs typeface="Calibri"/>
            </a:rPr>
            <a:t>Create Customer Journey Map</a:t>
          </a:r>
        </a:p>
      </xdr:txBody>
    </xdr:sp>
    <xdr:clientData fPrintsWithSheet="0"/>
  </xdr:twoCellAnchor>
</xdr:wsDr>
</file>

<file path=xl/persons/person.xml><?xml version="1.0" encoding="utf-8"?>
<personList xmlns="http://schemas.microsoft.com/office/spreadsheetml/2018/threadedcomments" xmlns:x="http://schemas.openxmlformats.org/spreadsheetml/2006/main">
  <person displayName="Anandan Kumaran" id="{B21E8A1C-0249-4D3A-9867-B1955244EEF3}" userId="b67183372b1239e4" providerId="Windows Live"/>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8728826-6759-4D3E-AEB1-6448D358F80E}" name="Table3" displayName="Table3" ref="B3:E17" totalsRowShown="0">
  <tableColumns count="4">
    <tableColumn id="1" xr3:uid="{C0AB3761-E783-48D5-985B-4799BC6209DA}" name="S No"/>
    <tableColumn id="2" xr3:uid="{6E8534FD-C9E3-4CE3-9BF9-5406EDDBD27D}" name="Role "/>
    <tableColumn id="3" xr3:uid="{249E28C6-9ABC-4DC5-A637-0997C01AB972}" name="Name of Team  Member" dataDxfId="15"/>
    <tableColumn id="4" xr3:uid="{19D8E82B-5E9B-4007-9C59-3BC7C0833369}" name="Count" dataDxfId="14"/>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08707AA-3B5A-4F8A-BB1D-16E7E220C02C}" name="Table1" displayName="Table1" ref="B16:C58" totalsRowShown="0" headerRowDxfId="13" dataDxfId="11" headerRowBorderDxfId="12">
  <tableColumns count="2">
    <tableColumn id="1" xr3:uid="{A1834E27-94EC-4053-8656-C0CB318E128C}" name="Step Number" dataDxfId="10"/>
    <tableColumn id="2" xr3:uid="{D6C2D0AD-C2F2-4490-B0EB-51ECE27D70FE}" name="Steps" dataDxfId="9"/>
  </tableColumns>
  <tableStyleInfo name="TableStyleLight1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61E96DA-2FC8-4379-93F2-4D648DEA3C15}" name="Table2" displayName="Table2" ref="D16:H58" totalsRowShown="0" headerRowDxfId="8" dataDxfId="6" headerRowBorderDxfId="7">
  <tableColumns count="5">
    <tableColumn id="2" xr3:uid="{4DCD6222-9668-4BE9-B0E8-A614070CB77C}" name="Negative Emotion" dataDxfId="5"/>
    <tableColumn id="3" xr3:uid="{DFC55628-5C2D-426C-9D40-7F02EDA38FB4}" name="High TAT" dataDxfId="4"/>
    <tableColumn id="4" xr3:uid="{3F4F6365-C778-4018-A452-6FAD76496835}" name="Opposes Intention" dataDxfId="3"/>
    <tableColumn id="5" xr3:uid="{41C8534F-B9D3-4A09-ACE1-1BDD1A45149B}" name="Trim Tab" dataDxfId="2">
      <calculatedColumnFormula>AVERAGE(Table2[[#This Row],[Negative Emotion]:[Opposes Intention]])</calculatedColumnFormula>
    </tableColumn>
    <tableColumn id="6" xr3:uid="{BE700835-D18A-4DE3-A809-981BE1CE6788}" name="Comments" dataDxfId="1"/>
  </tableColumns>
  <tableStyleInfo name="TableStyleLight17"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BF479B7-B2CA-4257-8BFA-88AD23D85AA2}" name="Table46" displayName="Table46" ref="B6:C22" totalsRowShown="0" headerRowDxfId="0">
  <tableColumns count="2">
    <tableColumn id="1" xr3:uid="{842993B9-AA76-4457-9677-38562B182CF9}" name="S No"/>
    <tableColumn id="2" xr3:uid="{06BB2A5B-4C2C-47E6-B5AC-3EA0C3F15C94}" name="ROBOTIC STEPS for Customer Journey step 4 - Trim tab step "/>
  </tableColumns>
  <tableStyleInfo name="TableStyleLight8"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F7" dT="2020-04-13T05:18:58.37" personId="{B21E8A1C-0249-4D3A-9867-B1955244EEF3}" id="{CE11096A-F2C9-4C71-8C72-5F881B37D8E8}">
    <text>The average time saved by the change done. For example is 5 mins is saved in code by the current change in checking code validity</text>
  </threadedComment>
  <threadedComment ref="F8" dT="2020-04-13T05:16:14.60" personId="{B21E8A1C-0249-4D3A-9867-B1955244EEF3}" id="{FFF0B795-9BE9-428F-80D8-AB4F0C53D98A}">
    <text>Enter the average occurences of the above transaction every week. For example if 1 code review is done by each developer and there are 10 developers in the team. The value = 1 * 10 
If this activity is done once is 15 days divide the value by 2. If the above was one in a forngiht the value will become ( 1*10)/2</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omments" Target="../comments1.xml"/><Relationship Id="rId5" Type="http://schemas.openxmlformats.org/officeDocument/2006/relationships/table" Target="../tables/table3.xml"/><Relationship Id="rId4" Type="http://schemas.openxmlformats.org/officeDocument/2006/relationships/table" Target="../tables/table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table" Target="../tables/table4.xml"/><Relationship Id="rId1" Type="http://schemas.openxmlformats.org/officeDocument/2006/relationships/vmlDrawing" Target="../drawings/vmlDrawing2.vml"/><Relationship Id="rId4" Type="http://schemas.microsoft.com/office/2017/10/relationships/threadedComment" Target="../threadedComments/threadedComment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3B760-C53B-42F3-8AAB-873D4AB03EDE}">
  <dimension ref="C1:G8"/>
  <sheetViews>
    <sheetView showGridLines="0" workbookViewId="0">
      <selection activeCell="D7" sqref="D7"/>
    </sheetView>
  </sheetViews>
  <sheetFormatPr defaultRowHeight="15"/>
  <cols>
    <col min="3" max="3" width="52.28515625" bestFit="1" customWidth="1"/>
  </cols>
  <sheetData>
    <row r="1" spans="3:7" ht="15.75" thickBot="1"/>
    <row r="2" spans="3:7" ht="26.25">
      <c r="C2" s="55" t="s">
        <v>24</v>
      </c>
      <c r="D2" s="44" t="s">
        <v>41</v>
      </c>
      <c r="E2" s="45"/>
      <c r="F2" s="45"/>
      <c r="G2" s="46"/>
    </row>
    <row r="3" spans="3:7">
      <c r="C3" s="47"/>
      <c r="D3" s="48"/>
      <c r="E3" s="48"/>
      <c r="F3" s="48"/>
      <c r="G3" s="49"/>
    </row>
    <row r="4" spans="3:7" ht="26.25">
      <c r="C4" s="56" t="s">
        <v>23</v>
      </c>
      <c r="D4" s="50" t="s">
        <v>42</v>
      </c>
      <c r="E4" s="48"/>
      <c r="F4" s="48"/>
      <c r="G4" s="49"/>
    </row>
    <row r="5" spans="3:7">
      <c r="C5" s="47"/>
      <c r="D5" s="48"/>
      <c r="E5" s="48"/>
      <c r="F5" s="48"/>
      <c r="G5" s="49"/>
    </row>
    <row r="6" spans="3:7" ht="23.25">
      <c r="C6" s="57" t="s">
        <v>21</v>
      </c>
      <c r="D6" s="51" t="s">
        <v>43</v>
      </c>
      <c r="E6" s="48"/>
      <c r="F6" s="48"/>
      <c r="G6" s="49"/>
    </row>
    <row r="7" spans="3:7" ht="15.75" thickBot="1">
      <c r="C7" s="52"/>
      <c r="D7" s="53"/>
      <c r="E7" s="53"/>
      <c r="F7" s="53"/>
      <c r="G7" s="54"/>
    </row>
    <row r="8" spans="3:7">
      <c r="C8" s="39"/>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45CCB5-0335-46A8-B61D-26F3B04F9CD1}">
  <dimension ref="B3:I17"/>
  <sheetViews>
    <sheetView workbookViewId="0">
      <selection activeCell="C10" sqref="C10"/>
    </sheetView>
  </sheetViews>
  <sheetFormatPr defaultRowHeight="15"/>
  <cols>
    <col min="3" max="3" width="32.5703125" customWidth="1"/>
    <col min="4" max="4" width="32.28515625" customWidth="1"/>
    <col min="5" max="5" width="22.7109375" customWidth="1"/>
  </cols>
  <sheetData>
    <row r="3" spans="2:9" ht="21">
      <c r="B3" s="42" t="s">
        <v>22</v>
      </c>
      <c r="C3" s="43" t="s">
        <v>25</v>
      </c>
      <c r="D3" s="58" t="s">
        <v>26</v>
      </c>
      <c r="E3" s="58" t="s">
        <v>28</v>
      </c>
    </row>
    <row r="4" spans="2:9" ht="15.75" customHeight="1">
      <c r="B4">
        <v>1</v>
      </c>
      <c r="C4" s="70" t="s">
        <v>44</v>
      </c>
      <c r="D4" s="71"/>
      <c r="E4" s="59">
        <v>3</v>
      </c>
      <c r="F4" s="40"/>
      <c r="G4" s="40"/>
      <c r="H4" s="40"/>
      <c r="I4" s="40"/>
    </row>
    <row r="5" spans="2:9">
      <c r="B5">
        <v>2</v>
      </c>
      <c r="C5" t="s">
        <v>47</v>
      </c>
      <c r="D5" s="59"/>
      <c r="E5" s="59">
        <v>15</v>
      </c>
    </row>
    <row r="6" spans="2:9">
      <c r="B6">
        <v>3</v>
      </c>
      <c r="C6" t="s">
        <v>45</v>
      </c>
      <c r="D6" s="59"/>
      <c r="E6" s="59">
        <v>54</v>
      </c>
    </row>
    <row r="7" spans="2:9">
      <c r="B7">
        <v>4</v>
      </c>
      <c r="C7" t="s">
        <v>46</v>
      </c>
      <c r="D7" s="59"/>
      <c r="E7" s="59">
        <v>30</v>
      </c>
    </row>
    <row r="8" spans="2:9">
      <c r="D8" s="59"/>
      <c r="E8" s="59"/>
    </row>
    <row r="9" spans="2:9">
      <c r="D9" s="59"/>
      <c r="E9" s="59"/>
    </row>
    <row r="10" spans="2:9">
      <c r="D10" s="59"/>
      <c r="E10" s="59"/>
    </row>
    <row r="11" spans="2:9">
      <c r="D11" s="59"/>
      <c r="E11" s="59"/>
    </row>
    <row r="12" spans="2:9">
      <c r="D12" s="59"/>
      <c r="E12" s="59"/>
    </row>
    <row r="13" spans="2:9">
      <c r="D13" s="59"/>
      <c r="E13" s="59"/>
    </row>
    <row r="14" spans="2:9">
      <c r="D14" s="59"/>
      <c r="E14" s="59"/>
    </row>
    <row r="15" spans="2:9">
      <c r="D15" s="59"/>
      <c r="E15" s="59"/>
    </row>
    <row r="16" spans="2:9">
      <c r="D16" s="59"/>
      <c r="E16" s="59"/>
    </row>
    <row r="17" spans="4:5">
      <c r="D17" s="59"/>
      <c r="E17" s="5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F2573A-FEAE-4632-8EED-3B01D309CD71}">
  <sheetPr codeName="Sheet1"/>
  <dimension ref="A1:S58"/>
  <sheetViews>
    <sheetView showGridLines="0" tabSelected="1" topLeftCell="A25" zoomScale="80" zoomScaleNormal="80" workbookViewId="0">
      <selection activeCell="G48" sqref="G48"/>
    </sheetView>
  </sheetViews>
  <sheetFormatPr defaultColWidth="8.85546875" defaultRowHeight="15"/>
  <cols>
    <col min="2" max="2" width="11.42578125" customWidth="1"/>
    <col min="3" max="3" width="73.42578125" style="1" customWidth="1"/>
    <col min="4" max="4" width="13" style="1" customWidth="1"/>
    <col min="5" max="5" width="12.85546875" style="1" customWidth="1"/>
    <col min="6" max="6" width="15.140625" style="1" customWidth="1"/>
    <col min="7" max="7" width="9.42578125" style="21" customWidth="1"/>
    <col min="8" max="8" width="39.42578125" customWidth="1"/>
    <col min="9" max="9" width="4.42578125" customWidth="1"/>
    <col min="10" max="10" width="7.42578125" customWidth="1"/>
    <col min="11" max="11" width="44.85546875" customWidth="1"/>
    <col min="12" max="12" width="34.42578125" customWidth="1"/>
  </cols>
  <sheetData>
    <row r="1" spans="1:19" ht="26.25">
      <c r="A1" s="21"/>
      <c r="B1" s="13" t="s">
        <v>0</v>
      </c>
      <c r="C1" s="4"/>
      <c r="D1"/>
      <c r="E1"/>
      <c r="F1"/>
      <c r="G1"/>
      <c r="K1" s="21"/>
      <c r="L1" s="21"/>
      <c r="M1" s="21"/>
      <c r="N1" s="21"/>
      <c r="O1" s="21"/>
      <c r="P1" s="21"/>
      <c r="Q1" s="21"/>
      <c r="R1" s="21"/>
      <c r="S1" s="21"/>
    </row>
    <row r="2" spans="1:19">
      <c r="A2" s="21"/>
      <c r="B2" s="21"/>
      <c r="C2" s="14"/>
      <c r="D2" s="2"/>
      <c r="E2"/>
      <c r="F2"/>
      <c r="G2"/>
      <c r="K2" s="21"/>
      <c r="L2" s="21"/>
      <c r="M2" s="21"/>
      <c r="N2" s="21"/>
      <c r="O2" s="21"/>
      <c r="P2" s="21"/>
      <c r="Q2" s="21"/>
      <c r="R2" s="21"/>
      <c r="S2" s="21"/>
    </row>
    <row r="3" spans="1:19" ht="15" customHeight="1">
      <c r="A3" s="21"/>
      <c r="B3" s="7"/>
      <c r="C3" s="16" t="s">
        <v>1</v>
      </c>
      <c r="D3" s="2"/>
      <c r="E3"/>
      <c r="F3"/>
      <c r="G3"/>
      <c r="K3" s="21"/>
      <c r="L3" s="21"/>
      <c r="M3" s="21"/>
      <c r="N3" s="21"/>
      <c r="O3" s="21"/>
      <c r="P3" s="21"/>
      <c r="Q3" s="21"/>
      <c r="R3" s="21"/>
      <c r="S3" s="21"/>
    </row>
    <row r="4" spans="1:19" ht="15" customHeight="1" thickBot="1">
      <c r="A4" s="21"/>
      <c r="B4" s="7"/>
      <c r="C4" s="22"/>
      <c r="D4" s="8"/>
      <c r="E4" s="5"/>
      <c r="F4" s="15"/>
      <c r="G4" s="15"/>
      <c r="H4" s="15"/>
      <c r="I4" s="18"/>
      <c r="K4" s="15"/>
      <c r="L4" s="15"/>
      <c r="M4" s="21"/>
      <c r="N4" s="21"/>
      <c r="O4" s="21"/>
      <c r="P4" s="21"/>
      <c r="Q4" s="21"/>
      <c r="R4" s="21"/>
      <c r="S4" s="21"/>
    </row>
    <row r="5" spans="1:19" ht="31.5" customHeight="1">
      <c r="A5" s="21"/>
      <c r="B5" s="7"/>
      <c r="C5" s="35" t="s">
        <v>2</v>
      </c>
      <c r="D5" s="76" t="s">
        <v>50</v>
      </c>
      <c r="E5" s="77"/>
      <c r="F5" s="77"/>
      <c r="G5" s="77"/>
      <c r="H5" s="77"/>
      <c r="I5" s="77"/>
      <c r="J5" s="78"/>
      <c r="K5" s="15"/>
      <c r="L5" s="15"/>
      <c r="M5" s="21"/>
      <c r="N5" s="21"/>
      <c r="O5" s="21"/>
      <c r="P5" s="21"/>
      <c r="Q5" s="21"/>
      <c r="R5" s="21"/>
      <c r="S5" s="21"/>
    </row>
    <row r="6" spans="1:19" ht="31.5" customHeight="1">
      <c r="A6" s="21"/>
      <c r="B6" s="7"/>
      <c r="C6" s="36" t="s">
        <v>3</v>
      </c>
      <c r="D6" s="79" t="s">
        <v>49</v>
      </c>
      <c r="E6" s="80"/>
      <c r="F6" s="80"/>
      <c r="G6" s="80"/>
      <c r="H6" s="80"/>
      <c r="I6" s="80"/>
      <c r="J6" s="81"/>
      <c r="K6" s="15"/>
      <c r="L6" s="15"/>
      <c r="M6" s="21"/>
      <c r="N6" s="21"/>
      <c r="O6" s="21"/>
      <c r="P6" s="21"/>
      <c r="Q6" s="21"/>
      <c r="R6" s="21"/>
      <c r="S6" s="21"/>
    </row>
    <row r="7" spans="1:19" ht="15" customHeight="1">
      <c r="A7" s="21"/>
      <c r="B7" s="7"/>
      <c r="C7" s="36" t="s">
        <v>27</v>
      </c>
      <c r="D7" s="79" t="s">
        <v>48</v>
      </c>
      <c r="E7" s="80"/>
      <c r="F7" s="80"/>
      <c r="G7" s="80"/>
      <c r="H7" s="80"/>
      <c r="I7" s="80"/>
      <c r="J7" s="81"/>
      <c r="K7" s="15"/>
      <c r="L7" s="15"/>
      <c r="M7" s="21"/>
      <c r="N7" s="21"/>
      <c r="O7" s="21"/>
      <c r="P7" s="21"/>
      <c r="Q7" s="21"/>
      <c r="R7" s="21"/>
      <c r="S7" s="21"/>
    </row>
    <row r="8" spans="1:19" ht="31.5">
      <c r="A8" s="21"/>
      <c r="B8" s="7"/>
      <c r="C8" s="36" t="s">
        <v>4</v>
      </c>
      <c r="D8" s="79" t="s">
        <v>6</v>
      </c>
      <c r="E8" s="80"/>
      <c r="F8" s="80"/>
      <c r="G8" s="80"/>
      <c r="H8" s="80"/>
      <c r="I8" s="80"/>
      <c r="J8" s="81"/>
      <c r="K8" s="15"/>
      <c r="L8" s="15"/>
      <c r="M8" s="21"/>
      <c r="N8" s="21"/>
      <c r="O8" s="21"/>
      <c r="P8" s="21"/>
      <c r="Q8" s="21"/>
      <c r="R8" s="21"/>
      <c r="S8" s="21"/>
    </row>
    <row r="9" spans="1:19" ht="16.5" thickBot="1">
      <c r="A9" s="21"/>
      <c r="B9" s="7"/>
      <c r="C9" s="37" t="s">
        <v>5</v>
      </c>
      <c r="D9" s="82"/>
      <c r="E9" s="83"/>
      <c r="F9" s="83"/>
      <c r="G9" s="83"/>
      <c r="H9" s="83"/>
      <c r="I9" s="83"/>
      <c r="J9" s="84"/>
      <c r="K9" s="15"/>
      <c r="L9" s="15"/>
      <c r="M9" s="21"/>
      <c r="N9" s="21"/>
      <c r="O9" s="21"/>
      <c r="P9" s="21"/>
      <c r="Q9" s="21"/>
      <c r="R9" s="21"/>
      <c r="S9" s="21"/>
    </row>
    <row r="10" spans="1:19" s="21" customFormat="1" ht="16.5" thickBot="1">
      <c r="B10" s="7"/>
      <c r="C10" s="17"/>
      <c r="D10" s="9"/>
      <c r="E10" s="5"/>
      <c r="F10" s="5"/>
      <c r="G10" s="6"/>
      <c r="H10" s="6"/>
      <c r="I10" s="6"/>
      <c r="J10" s="6"/>
      <c r="K10" s="15"/>
      <c r="L10" s="15"/>
    </row>
    <row r="11" spans="1:19" s="21" customFormat="1">
      <c r="C11" s="73" t="s">
        <v>7</v>
      </c>
      <c r="D11" s="27">
        <v>3</v>
      </c>
      <c r="E11" s="28" t="s">
        <v>8</v>
      </c>
      <c r="F11" s="29"/>
      <c r="I11" s="15"/>
      <c r="J11" s="15"/>
    </row>
    <row r="12" spans="1:19" s="21" customFormat="1">
      <c r="C12" s="74"/>
      <c r="D12" s="30">
        <v>2</v>
      </c>
      <c r="E12" s="26" t="s">
        <v>9</v>
      </c>
      <c r="F12" s="31"/>
      <c r="I12" s="15"/>
      <c r="J12" s="15"/>
    </row>
    <row r="13" spans="1:19" s="21" customFormat="1">
      <c r="C13" s="74"/>
      <c r="D13" s="30">
        <v>1</v>
      </c>
      <c r="E13" s="26" t="s">
        <v>10</v>
      </c>
      <c r="F13" s="31"/>
      <c r="I13" s="15"/>
      <c r="J13" s="15"/>
    </row>
    <row r="14" spans="1:19" s="21" customFormat="1" ht="15" customHeight="1" thickBot="1">
      <c r="B14" s="7"/>
      <c r="C14" s="75"/>
      <c r="D14" s="32">
        <v>0</v>
      </c>
      <c r="E14" s="33" t="s">
        <v>11</v>
      </c>
      <c r="F14" s="34"/>
      <c r="K14" s="15"/>
      <c r="L14" s="15"/>
    </row>
    <row r="15" spans="1:19" s="21" customFormat="1" ht="16.5" thickBot="1">
      <c r="B15" s="7"/>
      <c r="C15" s="17"/>
      <c r="D15" s="9"/>
      <c r="E15" s="5"/>
      <c r="F15" s="5"/>
      <c r="G15" s="15"/>
      <c r="H15" s="6"/>
      <c r="I15" s="6"/>
      <c r="J15" s="6"/>
      <c r="K15" s="15"/>
      <c r="L15" s="15"/>
    </row>
    <row r="16" spans="1:19" s="23" customFormat="1" ht="34.5" customHeight="1" thickBot="1">
      <c r="B16" s="19" t="s">
        <v>12</v>
      </c>
      <c r="C16" s="20" t="s">
        <v>13</v>
      </c>
      <c r="D16" s="20" t="s">
        <v>14</v>
      </c>
      <c r="E16" s="20" t="s">
        <v>15</v>
      </c>
      <c r="F16" s="20" t="s">
        <v>16</v>
      </c>
      <c r="G16" s="20" t="s">
        <v>17</v>
      </c>
      <c r="H16" s="20" t="s">
        <v>18</v>
      </c>
      <c r="I16" s="10"/>
      <c r="J16" s="10"/>
    </row>
    <row r="17" spans="2:19" ht="15.75">
      <c r="B17" s="11">
        <v>1</v>
      </c>
      <c r="C17" s="12" t="s">
        <v>51</v>
      </c>
      <c r="D17" s="5">
        <v>3</v>
      </c>
      <c r="E17" s="5">
        <v>2</v>
      </c>
      <c r="F17" s="5">
        <v>2</v>
      </c>
      <c r="G17" s="2">
        <f>AVERAGE(Table2[[#This Row],[Negative Emotion]:[Opposes Intention]])</f>
        <v>2.3333333333333335</v>
      </c>
      <c r="H17" s="6"/>
      <c r="I17" s="3"/>
      <c r="J17" s="3"/>
      <c r="K17" s="21"/>
      <c r="L17" s="21"/>
      <c r="M17" s="21"/>
      <c r="N17" s="21"/>
      <c r="O17" s="21"/>
      <c r="P17" s="21"/>
      <c r="Q17" s="21"/>
      <c r="R17" s="21"/>
      <c r="S17" s="21"/>
    </row>
    <row r="18" spans="2:19" ht="15.75">
      <c r="B18" s="11">
        <v>2</v>
      </c>
      <c r="C18" s="12" t="s">
        <v>52</v>
      </c>
      <c r="D18" s="5">
        <v>3</v>
      </c>
      <c r="E18" s="5">
        <v>3</v>
      </c>
      <c r="F18" s="5">
        <v>3</v>
      </c>
      <c r="G18" s="2">
        <f>AVERAGE(Table2[[#This Row],[Negative Emotion]:[Opposes Intention]])</f>
        <v>3</v>
      </c>
      <c r="H18" s="6" t="s">
        <v>40</v>
      </c>
      <c r="I18" s="3"/>
      <c r="J18" s="3"/>
      <c r="K18" s="21"/>
      <c r="L18" s="21"/>
      <c r="M18" s="21">
        <v>3</v>
      </c>
      <c r="N18" s="21"/>
      <c r="O18" s="21"/>
      <c r="P18" s="21"/>
      <c r="Q18" s="21"/>
      <c r="R18" s="21"/>
      <c r="S18" s="21"/>
    </row>
    <row r="19" spans="2:19" ht="15.75">
      <c r="B19" s="11">
        <v>3</v>
      </c>
      <c r="C19" s="12" t="s">
        <v>53</v>
      </c>
      <c r="D19" s="5">
        <v>3</v>
      </c>
      <c r="E19" s="5">
        <v>3</v>
      </c>
      <c r="F19" s="5">
        <v>3</v>
      </c>
      <c r="G19" s="2">
        <f>AVERAGE(Table2[[#This Row],[Negative Emotion]:[Opposes Intention]])</f>
        <v>3</v>
      </c>
      <c r="H19" s="6"/>
      <c r="I19" s="3"/>
      <c r="J19" s="3"/>
      <c r="K19" s="21"/>
      <c r="L19" s="21"/>
      <c r="M19" s="21">
        <v>2</v>
      </c>
      <c r="N19" s="21"/>
      <c r="O19" s="21"/>
      <c r="P19" s="21"/>
      <c r="Q19" s="21"/>
      <c r="R19" s="21"/>
      <c r="S19" s="21"/>
    </row>
    <row r="20" spans="2:19" ht="15.75">
      <c r="B20" s="11">
        <v>4</v>
      </c>
      <c r="C20" s="12" t="s">
        <v>54</v>
      </c>
      <c r="D20" s="5">
        <v>3</v>
      </c>
      <c r="E20" s="5">
        <v>3</v>
      </c>
      <c r="F20" s="5">
        <v>3</v>
      </c>
      <c r="G20" s="2">
        <f>AVERAGE(Table2[[#This Row],[Negative Emotion]:[Opposes Intention]])</f>
        <v>3</v>
      </c>
      <c r="H20" s="6"/>
      <c r="I20" s="3"/>
      <c r="J20" s="3"/>
      <c r="K20" s="21"/>
      <c r="L20" s="21"/>
      <c r="M20" s="21">
        <v>1</v>
      </c>
      <c r="N20" s="21"/>
      <c r="O20" s="21"/>
      <c r="P20" s="21"/>
      <c r="Q20" s="21"/>
      <c r="R20" s="21"/>
      <c r="S20" s="21"/>
    </row>
    <row r="21" spans="2:19" ht="15.75">
      <c r="B21" s="11">
        <v>5</v>
      </c>
      <c r="C21" s="12" t="s">
        <v>55</v>
      </c>
      <c r="D21" s="5">
        <v>3</v>
      </c>
      <c r="E21" s="5">
        <v>3</v>
      </c>
      <c r="F21" s="5">
        <v>3</v>
      </c>
      <c r="G21" s="2">
        <f>AVERAGE(Table2[[#This Row],[Negative Emotion]:[Opposes Intention]])</f>
        <v>3</v>
      </c>
      <c r="H21" s="6"/>
      <c r="I21" s="3"/>
      <c r="J21" s="3"/>
      <c r="K21" s="21"/>
      <c r="L21" s="21"/>
      <c r="M21" s="21">
        <v>0</v>
      </c>
      <c r="N21" s="21"/>
      <c r="O21" s="21"/>
      <c r="P21" s="21"/>
      <c r="Q21" s="21"/>
      <c r="R21" s="21"/>
      <c r="S21" s="21"/>
    </row>
    <row r="22" spans="2:19" ht="15.75">
      <c r="B22" s="11">
        <v>6</v>
      </c>
      <c r="C22" s="38" t="s">
        <v>56</v>
      </c>
      <c r="D22" s="5">
        <v>2</v>
      </c>
      <c r="E22" s="5">
        <v>2</v>
      </c>
      <c r="F22" s="5">
        <v>2</v>
      </c>
      <c r="G22" s="2">
        <f>AVERAGE(Table2[[#This Row],[Negative Emotion]:[Opposes Intention]])</f>
        <v>2</v>
      </c>
      <c r="H22" s="6"/>
      <c r="I22" s="3"/>
      <c r="J22" s="3"/>
      <c r="K22" s="21"/>
      <c r="L22" s="21"/>
      <c r="M22" s="21"/>
      <c r="N22" s="21"/>
      <c r="O22" s="21"/>
      <c r="P22" s="21"/>
      <c r="Q22" s="21"/>
      <c r="R22" s="21"/>
      <c r="S22" s="21"/>
    </row>
    <row r="23" spans="2:19">
      <c r="B23" s="11">
        <v>7</v>
      </c>
      <c r="C23" s="4" t="s">
        <v>58</v>
      </c>
      <c r="D23" s="5">
        <v>1</v>
      </c>
      <c r="E23" s="5">
        <v>1</v>
      </c>
      <c r="F23" s="5">
        <v>1</v>
      </c>
      <c r="G23" s="2">
        <f>AVERAGE(Table2[[#This Row],[Negative Emotion]:[Opposes Intention]])</f>
        <v>1</v>
      </c>
      <c r="H23" s="6"/>
      <c r="I23" s="3"/>
      <c r="J23" s="3"/>
      <c r="K23" s="21"/>
      <c r="L23" s="21"/>
      <c r="M23" s="21"/>
      <c r="N23" s="21"/>
      <c r="O23" s="21"/>
      <c r="P23" s="21"/>
      <c r="Q23" s="21"/>
      <c r="R23" s="21"/>
      <c r="S23" s="21"/>
    </row>
    <row r="24" spans="2:19" ht="15.75">
      <c r="B24" s="11">
        <v>8</v>
      </c>
      <c r="C24" s="12" t="s">
        <v>57</v>
      </c>
      <c r="D24" s="5">
        <v>0</v>
      </c>
      <c r="E24" s="5">
        <v>0</v>
      </c>
      <c r="F24" s="5">
        <v>0</v>
      </c>
      <c r="G24" s="2">
        <f>AVERAGE(Table2[[#This Row],[Negative Emotion]:[Opposes Intention]])</f>
        <v>0</v>
      </c>
      <c r="H24" s="6"/>
      <c r="I24" s="3"/>
      <c r="J24" s="3"/>
      <c r="K24" s="21"/>
      <c r="L24" s="21"/>
      <c r="M24" s="21"/>
      <c r="N24" s="21"/>
      <c r="O24" s="21"/>
      <c r="P24" s="21"/>
      <c r="Q24" s="21"/>
      <c r="R24" s="21"/>
      <c r="S24" s="21"/>
    </row>
    <row r="25" spans="2:19" ht="15.75">
      <c r="B25" s="11">
        <v>9</v>
      </c>
      <c r="C25" s="12"/>
      <c r="D25" s="5">
        <v>0</v>
      </c>
      <c r="E25" s="5">
        <v>0</v>
      </c>
      <c r="F25" s="5">
        <v>0</v>
      </c>
      <c r="G25" s="2">
        <f>AVERAGE(Table2[[#This Row],[Negative Emotion]:[Opposes Intention]])</f>
        <v>0</v>
      </c>
      <c r="H25" s="6"/>
      <c r="I25" s="3"/>
      <c r="J25" s="3"/>
      <c r="K25" s="21"/>
      <c r="L25" s="21"/>
      <c r="M25" s="21"/>
      <c r="N25" s="21"/>
      <c r="O25" s="21"/>
      <c r="P25" s="21"/>
      <c r="Q25" s="21"/>
      <c r="R25" s="21"/>
      <c r="S25" s="21"/>
    </row>
    <row r="26" spans="2:19" ht="15.75">
      <c r="B26" s="11"/>
      <c r="C26" s="12"/>
      <c r="D26" s="5">
        <v>0</v>
      </c>
      <c r="E26" s="5">
        <v>0</v>
      </c>
      <c r="F26" s="5">
        <v>0</v>
      </c>
      <c r="G26" s="2">
        <f>AVERAGE(Table2[[#This Row],[Negative Emotion]:[Opposes Intention]])</f>
        <v>0</v>
      </c>
      <c r="H26" s="6"/>
      <c r="I26" s="3"/>
      <c r="J26" s="3"/>
      <c r="K26" s="21"/>
      <c r="L26" s="21"/>
      <c r="M26" s="21"/>
      <c r="N26" s="21"/>
      <c r="O26" s="21"/>
      <c r="P26" s="21"/>
      <c r="Q26" s="21"/>
      <c r="R26" s="21"/>
      <c r="S26" s="21"/>
    </row>
    <row r="27" spans="2:19" ht="15.75">
      <c r="B27" s="11"/>
      <c r="C27" s="12"/>
      <c r="D27" s="5">
        <v>0</v>
      </c>
      <c r="E27" s="5">
        <v>0</v>
      </c>
      <c r="F27" s="5">
        <v>0</v>
      </c>
      <c r="G27" s="2">
        <f>AVERAGE(Table2[[#This Row],[Negative Emotion]:[Opposes Intention]])</f>
        <v>0</v>
      </c>
      <c r="H27" s="6"/>
      <c r="I27" s="3"/>
      <c r="J27" s="3"/>
      <c r="K27" s="21"/>
      <c r="L27" s="21"/>
      <c r="M27" s="21"/>
      <c r="N27" s="21"/>
      <c r="O27" s="21"/>
      <c r="P27" s="21"/>
      <c r="Q27" s="21"/>
      <c r="R27" s="21"/>
      <c r="S27" s="21"/>
    </row>
    <row r="28" spans="2:19" ht="15.75">
      <c r="B28" s="11"/>
      <c r="C28" s="12"/>
      <c r="D28" s="5">
        <v>0</v>
      </c>
      <c r="E28" s="5">
        <v>0</v>
      </c>
      <c r="F28" s="5">
        <v>0</v>
      </c>
      <c r="G28" s="2">
        <f>AVERAGE(Table2[[#This Row],[Negative Emotion]:[Opposes Intention]])</f>
        <v>0</v>
      </c>
      <c r="H28" s="6"/>
      <c r="I28" s="3"/>
      <c r="J28" s="3"/>
      <c r="K28" s="21"/>
      <c r="L28" s="21"/>
      <c r="M28" s="21"/>
      <c r="N28" s="21"/>
      <c r="O28" s="21"/>
      <c r="P28" s="21"/>
      <c r="Q28" s="21"/>
      <c r="R28" s="21"/>
      <c r="S28" s="21"/>
    </row>
    <row r="29" spans="2:19" ht="15.75">
      <c r="B29" s="11"/>
      <c r="C29" s="12"/>
      <c r="D29" s="5">
        <v>0</v>
      </c>
      <c r="E29" s="5">
        <v>0</v>
      </c>
      <c r="F29" s="5">
        <v>0</v>
      </c>
      <c r="G29" s="2">
        <f>AVERAGE(Table2[[#This Row],[Negative Emotion]:[Opposes Intention]])</f>
        <v>0</v>
      </c>
      <c r="H29" s="6"/>
      <c r="I29" s="3"/>
      <c r="J29" s="3"/>
      <c r="K29" s="21"/>
      <c r="L29" s="21"/>
      <c r="M29" s="21"/>
      <c r="N29" s="21"/>
      <c r="O29" s="21"/>
      <c r="P29" s="21"/>
      <c r="Q29" s="21"/>
      <c r="R29" s="21"/>
      <c r="S29" s="21"/>
    </row>
    <row r="30" spans="2:19" ht="15.75">
      <c r="B30" s="11"/>
      <c r="C30" s="12"/>
      <c r="D30" s="5">
        <v>0</v>
      </c>
      <c r="E30" s="5">
        <v>0</v>
      </c>
      <c r="F30" s="5">
        <v>0</v>
      </c>
      <c r="G30" s="15">
        <f>AVERAGE(Table2[[#This Row],[Negative Emotion]:[Opposes Intention]])</f>
        <v>0</v>
      </c>
      <c r="H30" s="6"/>
      <c r="I30" s="3"/>
      <c r="J30" s="3"/>
      <c r="K30" s="21"/>
      <c r="L30" s="21"/>
      <c r="M30" s="21"/>
      <c r="N30" s="21"/>
      <c r="O30" s="21"/>
      <c r="P30" s="21"/>
      <c r="Q30" s="21"/>
      <c r="R30" s="21"/>
      <c r="S30" s="21"/>
    </row>
    <row r="31" spans="2:19" ht="15.75">
      <c r="B31" s="11"/>
      <c r="C31" s="12"/>
      <c r="D31" s="5">
        <v>0</v>
      </c>
      <c r="E31" s="5">
        <v>0</v>
      </c>
      <c r="F31" s="5">
        <v>0</v>
      </c>
      <c r="G31" s="15">
        <f>AVERAGE(Table2[[#This Row],[Negative Emotion]:[Opposes Intention]])</f>
        <v>0</v>
      </c>
      <c r="H31" s="6"/>
      <c r="I31" s="3"/>
      <c r="J31" s="3"/>
      <c r="K31" s="21"/>
      <c r="L31" s="21"/>
      <c r="M31" s="21"/>
      <c r="N31" s="21"/>
      <c r="O31" s="21"/>
      <c r="P31" s="21"/>
      <c r="Q31" s="21"/>
      <c r="R31" s="21"/>
      <c r="S31" s="21"/>
    </row>
    <row r="32" spans="2:19" ht="15.75">
      <c r="B32" s="11"/>
      <c r="C32" s="12"/>
      <c r="D32" s="5">
        <v>0</v>
      </c>
      <c r="E32" s="5">
        <v>0</v>
      </c>
      <c r="F32" s="5">
        <v>0</v>
      </c>
      <c r="G32" s="15">
        <f>AVERAGE(Table2[[#This Row],[Negative Emotion]:[Opposes Intention]])</f>
        <v>0</v>
      </c>
      <c r="H32" s="6"/>
      <c r="I32" s="3"/>
      <c r="J32" s="3"/>
      <c r="K32" s="21"/>
      <c r="L32" s="21"/>
      <c r="M32" s="21"/>
      <c r="N32" s="21"/>
      <c r="O32" s="21"/>
      <c r="P32" s="21"/>
      <c r="Q32" s="21"/>
      <c r="R32" s="21"/>
      <c r="S32" s="21"/>
    </row>
    <row r="33" spans="2:19" ht="15.75">
      <c r="B33" s="11"/>
      <c r="C33" s="25"/>
      <c r="D33" s="5">
        <v>0</v>
      </c>
      <c r="E33" s="5">
        <v>0</v>
      </c>
      <c r="F33" s="5">
        <v>0</v>
      </c>
      <c r="G33" s="24">
        <f>AVERAGE(Table2[[#This Row],[Negative Emotion]:[Opposes Intention]])</f>
        <v>0</v>
      </c>
      <c r="H33" s="6"/>
      <c r="K33" s="21"/>
      <c r="L33" s="21"/>
      <c r="M33" s="21"/>
      <c r="N33" s="21"/>
      <c r="O33" s="21"/>
      <c r="P33" s="21"/>
      <c r="Q33" s="21"/>
      <c r="R33" s="21"/>
      <c r="S33" s="21"/>
    </row>
    <row r="34" spans="2:19" ht="15.75">
      <c r="B34" s="11"/>
      <c r="C34" s="25" t="s">
        <v>19</v>
      </c>
      <c r="D34" s="5">
        <v>0</v>
      </c>
      <c r="E34" s="5">
        <v>0</v>
      </c>
      <c r="F34" s="5">
        <v>0</v>
      </c>
      <c r="G34" s="24">
        <f>AVERAGE(Table2[[#This Row],[Negative Emotion]:[Opposes Intention]])</f>
        <v>0</v>
      </c>
      <c r="H34" s="6"/>
      <c r="K34" s="21"/>
      <c r="L34" s="21"/>
      <c r="M34" s="21"/>
      <c r="N34" s="21"/>
      <c r="O34" s="21"/>
      <c r="P34" s="21"/>
      <c r="Q34" s="21"/>
      <c r="R34" s="21"/>
      <c r="S34" s="21"/>
    </row>
    <row r="35" spans="2:19" ht="15.75">
      <c r="B35" s="11"/>
      <c r="C35" s="12"/>
      <c r="D35" s="5">
        <v>0</v>
      </c>
      <c r="E35" s="5">
        <v>0</v>
      </c>
      <c r="F35" s="5">
        <v>0</v>
      </c>
      <c r="G35" s="24">
        <f>AVERAGE(Table2[[#This Row],[Negative Emotion]:[Opposes Intention]])</f>
        <v>0</v>
      </c>
      <c r="H35" s="6"/>
      <c r="K35" s="21"/>
      <c r="L35" s="21"/>
      <c r="M35" s="21"/>
      <c r="N35" s="21"/>
      <c r="O35" s="21"/>
      <c r="P35" s="21"/>
      <c r="Q35" s="21"/>
      <c r="R35" s="21"/>
      <c r="S35" s="21"/>
    </row>
    <row r="36" spans="2:19" ht="15.75">
      <c r="B36" s="11"/>
      <c r="C36" s="25" t="s">
        <v>20</v>
      </c>
      <c r="D36" s="5">
        <v>0</v>
      </c>
      <c r="E36" s="5">
        <v>0</v>
      </c>
      <c r="F36" s="5">
        <v>0</v>
      </c>
      <c r="G36" s="24">
        <f>AVERAGE(Table2[[#This Row],[Negative Emotion]:[Opposes Intention]])</f>
        <v>0</v>
      </c>
      <c r="H36" s="6"/>
      <c r="K36" s="21"/>
      <c r="L36" s="21"/>
      <c r="M36" s="21"/>
      <c r="N36" s="21"/>
      <c r="O36" s="21"/>
      <c r="P36" s="21"/>
      <c r="Q36" s="21"/>
      <c r="R36" s="21"/>
      <c r="S36" s="21"/>
    </row>
    <row r="37" spans="2:19" ht="15.75">
      <c r="B37" s="11"/>
      <c r="C37" s="12"/>
      <c r="D37" s="5">
        <v>0</v>
      </c>
      <c r="E37" s="5">
        <v>0</v>
      </c>
      <c r="F37" s="5">
        <v>0</v>
      </c>
      <c r="G37" s="24">
        <f>AVERAGE(Table2[[#This Row],[Negative Emotion]:[Opposes Intention]])</f>
        <v>0</v>
      </c>
      <c r="H37" s="6"/>
      <c r="K37" s="21"/>
      <c r="L37" s="21"/>
      <c r="M37" s="21"/>
      <c r="N37" s="21"/>
      <c r="O37" s="21"/>
      <c r="P37" s="21"/>
      <c r="Q37" s="21"/>
      <c r="R37" s="21"/>
      <c r="S37" s="21"/>
    </row>
    <row r="38" spans="2:19" ht="15.75">
      <c r="B38" s="11"/>
      <c r="C38" s="12"/>
      <c r="D38" s="5">
        <v>0</v>
      </c>
      <c r="E38" s="5">
        <v>0</v>
      </c>
      <c r="F38" s="5">
        <v>0</v>
      </c>
      <c r="G38" s="24">
        <f>AVERAGE(Table2[[#This Row],[Negative Emotion]:[Opposes Intention]])</f>
        <v>0</v>
      </c>
      <c r="H38" s="6"/>
      <c r="K38" s="21"/>
      <c r="L38" s="21"/>
      <c r="M38" s="21"/>
      <c r="N38" s="21"/>
      <c r="O38" s="21"/>
      <c r="P38" s="21"/>
      <c r="Q38" s="21"/>
      <c r="R38" s="21"/>
      <c r="S38" s="21"/>
    </row>
    <row r="39" spans="2:19" ht="15.75">
      <c r="B39" s="11"/>
      <c r="C39" s="12"/>
      <c r="D39" s="5">
        <v>0</v>
      </c>
      <c r="E39" s="5">
        <v>0</v>
      </c>
      <c r="F39" s="5">
        <v>0</v>
      </c>
      <c r="G39" s="24">
        <f>AVERAGE(Table2[[#This Row],[Negative Emotion]:[Opposes Intention]])</f>
        <v>0</v>
      </c>
      <c r="H39" s="6"/>
      <c r="K39" s="21"/>
      <c r="L39" s="21"/>
      <c r="M39" s="21"/>
      <c r="N39" s="21"/>
      <c r="O39" s="21"/>
      <c r="P39" s="21"/>
      <c r="Q39" s="21"/>
      <c r="R39" s="21"/>
      <c r="S39" s="21"/>
    </row>
    <row r="40" spans="2:19" ht="15.75">
      <c r="B40" s="11"/>
      <c r="C40" s="12"/>
      <c r="D40" s="5">
        <v>0</v>
      </c>
      <c r="E40" s="5">
        <v>0</v>
      </c>
      <c r="F40" s="5">
        <v>0</v>
      </c>
      <c r="G40" s="24">
        <f>AVERAGE(Table2[[#This Row],[Negative Emotion]:[Opposes Intention]])</f>
        <v>0</v>
      </c>
      <c r="H40" s="6"/>
      <c r="K40" s="21"/>
      <c r="L40" s="21"/>
      <c r="M40" s="21"/>
      <c r="N40" s="21"/>
      <c r="O40" s="21"/>
      <c r="P40" s="21"/>
      <c r="Q40" s="21"/>
      <c r="R40" s="21"/>
      <c r="S40" s="21"/>
    </row>
    <row r="41" spans="2:19" ht="15.75">
      <c r="B41" s="11"/>
      <c r="C41" s="12"/>
      <c r="D41" s="5">
        <v>0</v>
      </c>
      <c r="E41" s="5">
        <v>0</v>
      </c>
      <c r="F41" s="5">
        <v>0</v>
      </c>
      <c r="G41" s="24">
        <f>AVERAGE(Table2[[#This Row],[Negative Emotion]:[Opposes Intention]])</f>
        <v>0</v>
      </c>
      <c r="H41" s="6"/>
      <c r="K41" s="21"/>
      <c r="L41" s="21"/>
      <c r="M41" s="21"/>
      <c r="N41" s="21"/>
      <c r="O41" s="21"/>
      <c r="P41" s="21"/>
      <c r="Q41" s="21"/>
      <c r="R41" s="21"/>
      <c r="S41" s="21"/>
    </row>
    <row r="42" spans="2:19" ht="15.75">
      <c r="B42" s="11"/>
      <c r="C42" s="12"/>
      <c r="D42" s="5">
        <v>0</v>
      </c>
      <c r="E42" s="5">
        <v>0</v>
      </c>
      <c r="F42" s="5">
        <v>0</v>
      </c>
      <c r="G42" s="24">
        <f>AVERAGE(Table2[[#This Row],[Negative Emotion]:[Opposes Intention]])</f>
        <v>0</v>
      </c>
      <c r="H42" s="6"/>
      <c r="K42" s="21"/>
      <c r="L42" s="21"/>
      <c r="M42" s="21"/>
      <c r="N42" s="21"/>
      <c r="O42" s="21"/>
      <c r="P42" s="21"/>
      <c r="Q42" s="21"/>
      <c r="R42" s="21"/>
      <c r="S42" s="21"/>
    </row>
    <row r="43" spans="2:19" ht="15.75">
      <c r="B43" s="11"/>
      <c r="C43" s="12"/>
      <c r="D43" s="5">
        <v>0</v>
      </c>
      <c r="E43" s="5">
        <v>0</v>
      </c>
      <c r="F43" s="5">
        <v>0</v>
      </c>
      <c r="G43" s="24">
        <f>AVERAGE(Table2[[#This Row],[Negative Emotion]:[Opposes Intention]])</f>
        <v>0</v>
      </c>
      <c r="H43" s="6"/>
      <c r="K43" s="21"/>
      <c r="L43" s="21"/>
      <c r="M43" s="21"/>
      <c r="N43" s="21"/>
      <c r="O43" s="21"/>
      <c r="P43" s="21"/>
      <c r="Q43" s="21"/>
      <c r="R43" s="21"/>
      <c r="S43" s="21"/>
    </row>
    <row r="44" spans="2:19" ht="15.75">
      <c r="B44" s="11"/>
      <c r="C44" s="12"/>
      <c r="D44" s="5">
        <v>0</v>
      </c>
      <c r="E44" s="5">
        <v>0</v>
      </c>
      <c r="F44" s="5">
        <v>0</v>
      </c>
      <c r="G44" s="24">
        <f>AVERAGE(Table2[[#This Row],[Negative Emotion]:[Opposes Intention]])</f>
        <v>0</v>
      </c>
      <c r="H44" s="6"/>
      <c r="K44" s="21"/>
      <c r="L44" s="21"/>
      <c r="M44" s="21"/>
      <c r="N44" s="21"/>
      <c r="O44" s="21"/>
      <c r="P44" s="21"/>
      <c r="Q44" s="21"/>
      <c r="R44" s="21"/>
      <c r="S44" s="21"/>
    </row>
    <row r="45" spans="2:19" ht="15.75">
      <c r="B45" s="11"/>
      <c r="C45" s="12"/>
      <c r="D45" s="5">
        <v>0</v>
      </c>
      <c r="E45" s="5">
        <v>0</v>
      </c>
      <c r="F45" s="5">
        <v>0</v>
      </c>
      <c r="G45" s="24">
        <f>AVERAGE(Table2[[#This Row],[Negative Emotion]:[Opposes Intention]])</f>
        <v>0</v>
      </c>
      <c r="H45" s="6"/>
      <c r="K45" s="21"/>
      <c r="L45" s="21"/>
      <c r="M45" s="21"/>
      <c r="N45" s="21"/>
      <c r="O45" s="21"/>
      <c r="P45" s="21"/>
      <c r="Q45" s="21"/>
      <c r="R45" s="21"/>
      <c r="S45" s="21"/>
    </row>
    <row r="46" spans="2:19" ht="15.75">
      <c r="B46" s="11"/>
      <c r="C46" s="12"/>
      <c r="D46" s="5">
        <v>0</v>
      </c>
      <c r="E46" s="5">
        <v>0</v>
      </c>
      <c r="F46" s="5">
        <v>0</v>
      </c>
      <c r="G46" s="24">
        <f>AVERAGE(Table2[[#This Row],[Negative Emotion]:[Opposes Intention]])</f>
        <v>0</v>
      </c>
      <c r="H46" s="6"/>
      <c r="K46" s="21"/>
      <c r="L46" s="21"/>
      <c r="M46" s="21"/>
      <c r="N46" s="21"/>
      <c r="O46" s="21"/>
      <c r="P46" s="21"/>
      <c r="Q46" s="21"/>
      <c r="R46" s="21"/>
      <c r="S46" s="21"/>
    </row>
    <row r="47" spans="2:19" ht="15.75">
      <c r="B47" s="11"/>
      <c r="C47" s="12"/>
      <c r="D47" s="5">
        <v>0</v>
      </c>
      <c r="E47" s="5">
        <v>0</v>
      </c>
      <c r="F47" s="5">
        <v>0</v>
      </c>
      <c r="G47" s="24">
        <f>AVERAGE(Table2[[#This Row],[Negative Emotion]:[Opposes Intention]])</f>
        <v>0</v>
      </c>
      <c r="H47" s="6"/>
      <c r="K47" s="21"/>
      <c r="L47" s="21"/>
      <c r="M47" s="21"/>
      <c r="N47" s="21"/>
      <c r="O47" s="21"/>
      <c r="P47" s="21"/>
      <c r="Q47" s="21"/>
      <c r="R47" s="21"/>
      <c r="S47" s="21"/>
    </row>
    <row r="48" spans="2:19" ht="15.75">
      <c r="B48" s="11"/>
      <c r="C48" s="12"/>
      <c r="D48" s="5">
        <v>0</v>
      </c>
      <c r="E48" s="5">
        <v>0</v>
      </c>
      <c r="F48" s="5">
        <v>0</v>
      </c>
      <c r="G48" s="24">
        <f>AVERAGE(Table2[[#This Row],[Negative Emotion]:[Opposes Intention]])</f>
        <v>0</v>
      </c>
      <c r="H48" s="6"/>
    </row>
    <row r="49" spans="2:8">
      <c r="B49" s="11"/>
      <c r="C49" s="4"/>
      <c r="D49" s="5">
        <v>0</v>
      </c>
      <c r="E49" s="5">
        <v>0</v>
      </c>
      <c r="F49" s="5">
        <v>0</v>
      </c>
      <c r="G49" s="24">
        <f>AVERAGE(Table2[[#This Row],[Negative Emotion]:[Opposes Intention]])</f>
        <v>0</v>
      </c>
      <c r="H49" s="6"/>
    </row>
    <row r="50" spans="2:8">
      <c r="B50" s="11"/>
      <c r="C50" s="4"/>
      <c r="D50" s="5">
        <v>0</v>
      </c>
      <c r="E50" s="5">
        <v>0</v>
      </c>
      <c r="F50" s="5">
        <v>0</v>
      </c>
      <c r="G50" s="24">
        <f>AVERAGE(Table2[[#This Row],[Negative Emotion]:[Opposes Intention]])</f>
        <v>0</v>
      </c>
      <c r="H50" s="6"/>
    </row>
    <row r="51" spans="2:8">
      <c r="B51" s="11"/>
      <c r="C51" s="4"/>
      <c r="D51" s="5">
        <v>0</v>
      </c>
      <c r="E51" s="5">
        <v>0</v>
      </c>
      <c r="F51" s="5">
        <v>0</v>
      </c>
      <c r="G51" s="24">
        <f>AVERAGE(Table2[[#This Row],[Negative Emotion]:[Opposes Intention]])</f>
        <v>0</v>
      </c>
      <c r="H51" s="6"/>
    </row>
    <row r="52" spans="2:8">
      <c r="B52" s="11"/>
      <c r="C52" s="4"/>
      <c r="D52" s="5">
        <v>0</v>
      </c>
      <c r="E52" s="5">
        <v>0</v>
      </c>
      <c r="F52" s="5">
        <v>0</v>
      </c>
      <c r="G52" s="24">
        <f>AVERAGE(Table2[[#This Row],[Negative Emotion]:[Opposes Intention]])</f>
        <v>0</v>
      </c>
      <c r="H52" s="6"/>
    </row>
    <row r="53" spans="2:8">
      <c r="B53" s="11"/>
      <c r="C53" s="4"/>
      <c r="D53" s="5">
        <v>0</v>
      </c>
      <c r="E53" s="5">
        <v>0</v>
      </c>
      <c r="F53" s="5">
        <v>0</v>
      </c>
      <c r="G53" s="24">
        <f>AVERAGE(Table2[[#This Row],[Negative Emotion]:[Opposes Intention]])</f>
        <v>0</v>
      </c>
      <c r="H53" s="6"/>
    </row>
    <row r="54" spans="2:8">
      <c r="B54" s="11"/>
      <c r="C54" s="4"/>
      <c r="D54" s="5">
        <v>0</v>
      </c>
      <c r="E54" s="5">
        <v>0</v>
      </c>
      <c r="F54" s="5">
        <v>0</v>
      </c>
      <c r="G54" s="24">
        <f>AVERAGE(Table2[[#This Row],[Negative Emotion]:[Opposes Intention]])</f>
        <v>0</v>
      </c>
      <c r="H54" s="6"/>
    </row>
    <row r="55" spans="2:8">
      <c r="B55" s="11"/>
      <c r="C55" s="4"/>
      <c r="D55" s="5">
        <v>0</v>
      </c>
      <c r="E55" s="5">
        <v>0</v>
      </c>
      <c r="F55" s="5">
        <v>0</v>
      </c>
      <c r="G55" s="24">
        <f>AVERAGE(Table2[[#This Row],[Negative Emotion]:[Opposes Intention]])</f>
        <v>0</v>
      </c>
      <c r="H55" s="6"/>
    </row>
    <row r="56" spans="2:8">
      <c r="B56" s="11"/>
      <c r="C56" s="4"/>
      <c r="D56" s="5">
        <v>0</v>
      </c>
      <c r="E56" s="5">
        <v>0</v>
      </c>
      <c r="F56" s="5">
        <v>0</v>
      </c>
      <c r="G56" s="24">
        <f>AVERAGE(Table2[[#This Row],[Negative Emotion]:[Opposes Intention]])</f>
        <v>0</v>
      </c>
      <c r="H56" s="6"/>
    </row>
    <row r="57" spans="2:8">
      <c r="B57" s="11"/>
      <c r="C57" s="4"/>
      <c r="D57" s="5">
        <v>0</v>
      </c>
      <c r="E57" s="5">
        <v>0</v>
      </c>
      <c r="F57" s="5">
        <v>0</v>
      </c>
      <c r="G57" s="24">
        <f>AVERAGE(Table2[[#This Row],[Negative Emotion]:[Opposes Intention]])</f>
        <v>0</v>
      </c>
      <c r="H57" s="6"/>
    </row>
    <row r="58" spans="2:8">
      <c r="B58" s="11"/>
      <c r="C58" s="4"/>
      <c r="D58" s="5">
        <v>0</v>
      </c>
      <c r="E58" s="5">
        <v>0</v>
      </c>
      <c r="F58" s="5">
        <v>0</v>
      </c>
      <c r="G58" s="24">
        <f>AVERAGE(Table2[[#This Row],[Negative Emotion]:[Opposes Intention]])</f>
        <v>0</v>
      </c>
      <c r="H58" s="6"/>
    </row>
  </sheetData>
  <sheetProtection insertRows="0" deleteRows="0"/>
  <mergeCells count="6">
    <mergeCell ref="C11:C14"/>
    <mergeCell ref="D5:J5"/>
    <mergeCell ref="D6:J6"/>
    <mergeCell ref="D7:J7"/>
    <mergeCell ref="D8:J8"/>
    <mergeCell ref="D9:J9"/>
  </mergeCells>
  <conditionalFormatting sqref="E11:E13">
    <cfRule type="iconSet" priority="7">
      <iconSet iconSet="4RedToBlack" showValue="0">
        <cfvo type="percent" val="0"/>
        <cfvo type="num" val="0" gte="0"/>
        <cfvo type="num" val="1" gte="0"/>
        <cfvo type="num" val="3"/>
      </iconSet>
    </cfRule>
  </conditionalFormatting>
  <conditionalFormatting sqref="E14">
    <cfRule type="iconSet" priority="5">
      <iconSet iconSet="4RedToBlack" showValue="0">
        <cfvo type="percent" val="0"/>
        <cfvo type="num" val="0" gte="0"/>
        <cfvo type="num" val="1" gte="0"/>
        <cfvo type="num" val="3"/>
      </iconSet>
    </cfRule>
  </conditionalFormatting>
  <conditionalFormatting sqref="I4">
    <cfRule type="iconSet" priority="11">
      <iconSet iconSet="4RedToBlack" showValue="0">
        <cfvo type="percent" val="0"/>
        <cfvo type="num" val="0" gte="0"/>
        <cfvo type="num" val="1" gte="0"/>
        <cfvo type="num" val="3"/>
      </iconSet>
    </cfRule>
  </conditionalFormatting>
  <dataValidations disablePrompts="1" count="1">
    <dataValidation type="list" showInputMessage="1" showErrorMessage="1" sqref="D17:F58" xr:uid="{C45FD224-55C0-4510-9DB5-85E7AFB29730}">
      <formula1>$M$18:$M$22</formula1>
    </dataValidation>
  </dataValidations>
  <pageMargins left="0.7" right="0.7" top="0.75" bottom="0.75" header="0.3" footer="0.3"/>
  <pageSetup orientation="portrait" r:id="rId1"/>
  <drawing r:id="rId2"/>
  <legacyDrawing r:id="rId3"/>
  <tableParts count="2">
    <tablePart r:id="rId4"/>
    <tablePart r:id="rId5"/>
  </tableParts>
  <extLst>
    <ext xmlns:x14="http://schemas.microsoft.com/office/spreadsheetml/2009/9/main" uri="{78C0D931-6437-407d-A8EE-F0AAD7539E65}">
      <x14:conditionalFormattings>
        <x14:conditionalFormatting xmlns:xm="http://schemas.microsoft.com/office/excel/2006/main">
          <x14:cfRule type="iconSet" priority="10" id="{00000000-000E-0000-0000-000003000000}">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D30:G58 D26:F29</xm:sqref>
        </x14:conditionalFormatting>
        <x14:conditionalFormatting xmlns:xm="http://schemas.microsoft.com/office/excel/2006/main">
          <x14:cfRule type="iconSet" priority="4" id="{06EE0F31-98A5-417E-959E-EA371CF531E9}">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D11:D14</xm:sqref>
        </x14:conditionalFormatting>
        <x14:conditionalFormatting xmlns:xm="http://schemas.microsoft.com/office/excel/2006/main">
          <x14:cfRule type="iconSet" priority="2" id="{97541508-06F2-422F-9F13-7F894A345CC6}">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D20 D17:G17 D18:F19 G18:G29 D21:F25</xm:sqref>
        </x14:conditionalFormatting>
        <x14:conditionalFormatting xmlns:xm="http://schemas.microsoft.com/office/excel/2006/main">
          <x14:cfRule type="iconSet" priority="1" id="{F18DAAE1-A551-4044-8BFD-89F12B388BE4}">
            <x14:iconSet iconSet="4RedToBlack" showValue="0" custom="1">
              <x14:cfvo type="percent">
                <xm:f>0</xm:f>
              </x14:cfvo>
              <x14:cfvo type="num" gte="0">
                <xm:f>0</xm:f>
              </x14:cfvo>
              <x14:cfvo type="num" gte="0">
                <xm:f>1</xm:f>
              </x14:cfvo>
              <x14:cfvo type="num">
                <xm:f>3</xm:f>
              </x14:cfvo>
              <x14:cfIcon iconSet="3Symbols2" iconId="2"/>
              <x14:cfIcon iconSet="3ArrowsGray" iconId="0"/>
              <x14:cfIcon iconSet="3TrafficLights1" iconId="1"/>
              <x14:cfIcon iconSet="4RedToBlack" iconId="3"/>
            </x14:iconSet>
          </x14:cfRule>
          <xm:sqref>E20:F20</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5E49FA-DF70-4030-A0B6-96240A7F63C2}">
  <dimension ref="B1:M26"/>
  <sheetViews>
    <sheetView topLeftCell="A2" zoomScale="110" zoomScaleNormal="110" workbookViewId="0">
      <selection activeCell="K15" sqref="K15"/>
    </sheetView>
  </sheetViews>
  <sheetFormatPr defaultRowHeight="15"/>
  <cols>
    <col min="2" max="2" width="17.7109375" customWidth="1"/>
    <col min="3" max="3" width="61.5703125" customWidth="1"/>
    <col min="4" max="4" width="4.5703125" customWidth="1"/>
    <col min="5" max="5" width="3.42578125" customWidth="1"/>
    <col min="6" max="6" width="26.140625" customWidth="1"/>
    <col min="7" max="7" width="18.5703125" customWidth="1"/>
  </cols>
  <sheetData>
    <row r="1" spans="2:13" ht="15.75" thickBot="1"/>
    <row r="2" spans="2:13" ht="15.75">
      <c r="B2" s="39" t="s">
        <v>3</v>
      </c>
      <c r="C2" s="60" t="s">
        <v>49</v>
      </c>
      <c r="E2" s="85" t="s">
        <v>32</v>
      </c>
      <c r="F2" s="85"/>
      <c r="G2" s="85"/>
      <c r="H2" s="85"/>
      <c r="I2" s="85"/>
      <c r="J2" s="85"/>
    </row>
    <row r="3" spans="2:13" ht="15.75">
      <c r="B3" s="39" t="s">
        <v>30</v>
      </c>
      <c r="C3" s="79" t="s">
        <v>48</v>
      </c>
      <c r="D3" s="80"/>
      <c r="E3" s="80"/>
      <c r="F3" s="80"/>
      <c r="G3" s="80"/>
      <c r="H3" s="80"/>
      <c r="I3" s="81"/>
    </row>
    <row r="4" spans="2:13" s="69" customFormat="1" ht="54.75" customHeight="1">
      <c r="B4" s="68" t="s">
        <v>31</v>
      </c>
      <c r="C4" s="72" t="s">
        <v>59</v>
      </c>
      <c r="F4" s="86" t="s">
        <v>39</v>
      </c>
      <c r="G4" s="86"/>
      <c r="H4" s="86"/>
      <c r="I4" s="86"/>
      <c r="J4" s="67"/>
      <c r="K4" s="67"/>
      <c r="L4" s="67"/>
      <c r="M4" s="67"/>
    </row>
    <row r="5" spans="2:13">
      <c r="G5" s="62"/>
      <c r="H5" s="62"/>
      <c r="I5" s="62"/>
      <c r="J5" s="62"/>
      <c r="K5" s="62"/>
      <c r="L5" s="62"/>
      <c r="M5" s="62"/>
    </row>
    <row r="6" spans="2:13" ht="15.75">
      <c r="B6" s="41" t="s">
        <v>22</v>
      </c>
      <c r="C6" s="41" t="s">
        <v>29</v>
      </c>
      <c r="F6" s="61" t="s">
        <v>33</v>
      </c>
    </row>
    <row r="7" spans="2:13">
      <c r="B7">
        <v>1</v>
      </c>
      <c r="C7" t="s">
        <v>60</v>
      </c>
      <c r="F7" s="39" t="s">
        <v>34</v>
      </c>
      <c r="G7" s="63">
        <v>20</v>
      </c>
    </row>
    <row r="8" spans="2:13">
      <c r="B8">
        <v>2</v>
      </c>
      <c r="C8" t="s">
        <v>62</v>
      </c>
      <c r="F8" s="39" t="s">
        <v>35</v>
      </c>
      <c r="G8" s="63">
        <f>1.2*50</f>
        <v>60</v>
      </c>
    </row>
    <row r="9" spans="2:13">
      <c r="B9">
        <v>3</v>
      </c>
      <c r="C9" t="s">
        <v>63</v>
      </c>
    </row>
    <row r="10" spans="2:13">
      <c r="B10">
        <v>4</v>
      </c>
      <c r="C10" t="s">
        <v>61</v>
      </c>
      <c r="F10" t="s">
        <v>36</v>
      </c>
      <c r="G10" s="63">
        <v>12</v>
      </c>
    </row>
    <row r="11" spans="2:13">
      <c r="B11">
        <v>5</v>
      </c>
      <c r="C11" t="s">
        <v>68</v>
      </c>
      <c r="F11" t="s">
        <v>37</v>
      </c>
      <c r="G11" s="64">
        <f>((G7/60)*G8)*4*12</f>
        <v>960</v>
      </c>
    </row>
    <row r="12" spans="2:13">
      <c r="B12">
        <v>6</v>
      </c>
      <c r="C12" t="s">
        <v>64</v>
      </c>
    </row>
    <row r="13" spans="2:13">
      <c r="B13">
        <v>7</v>
      </c>
      <c r="C13" t="s">
        <v>69</v>
      </c>
      <c r="F13" s="65" t="s">
        <v>38</v>
      </c>
      <c r="G13" s="66">
        <f>G11*G10</f>
        <v>11520</v>
      </c>
    </row>
    <row r="14" spans="2:13">
      <c r="B14">
        <v>8</v>
      </c>
      <c r="C14" t="s">
        <v>65</v>
      </c>
    </row>
    <row r="15" spans="2:13">
      <c r="B15">
        <v>9</v>
      </c>
      <c r="C15" t="s">
        <v>70</v>
      </c>
    </row>
    <row r="16" spans="2:13">
      <c r="B16">
        <v>10</v>
      </c>
      <c r="C16" t="s">
        <v>66</v>
      </c>
    </row>
    <row r="17" spans="2:3">
      <c r="B17">
        <v>11</v>
      </c>
      <c r="C17" t="s">
        <v>71</v>
      </c>
    </row>
    <row r="18" spans="2:3">
      <c r="B18">
        <v>12</v>
      </c>
      <c r="C18" t="s">
        <v>67</v>
      </c>
    </row>
    <row r="19" spans="2:3">
      <c r="B19">
        <v>13</v>
      </c>
      <c r="C19" t="s">
        <v>72</v>
      </c>
    </row>
    <row r="20" spans="2:3">
      <c r="B20">
        <v>14</v>
      </c>
      <c r="C20" t="s">
        <v>73</v>
      </c>
    </row>
    <row r="26" spans="2:3">
      <c r="C26">
        <v>2</v>
      </c>
    </row>
  </sheetData>
  <mergeCells count="3">
    <mergeCell ref="E2:J2"/>
    <mergeCell ref="F4:I4"/>
    <mergeCell ref="C3:I3"/>
  </mergeCells>
  <dataValidations count="1">
    <dataValidation type="textLength" allowBlank="1" showInputMessage="1" showErrorMessage="1" sqref="G11 G13" xr:uid="{FE8E271E-406B-4009-A794-B0D1254763BE}">
      <formula1>0</formula1>
      <formula2>0</formula2>
    </dataValidation>
  </dataValidations>
  <pageMargins left="0.7" right="0.7" top="0.75" bottom="0.75" header="0.3" footer="0.3"/>
  <legacyDrawing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D2EB01ADEBCD64E83604B7604CB38E0" ma:contentTypeVersion="2" ma:contentTypeDescription="Create a new document." ma:contentTypeScope="" ma:versionID="b45dfdd9c33772f0095fce538aaf4764">
  <xsd:schema xmlns:xsd="http://www.w3.org/2001/XMLSchema" xmlns:xs="http://www.w3.org/2001/XMLSchema" xmlns:p="http://schemas.microsoft.com/office/2006/metadata/properties" xmlns:ns2="64b14699-a483-46cf-b5e1-dd3523746250" targetNamespace="http://schemas.microsoft.com/office/2006/metadata/properties" ma:root="true" ma:fieldsID="b8686f17cb7056e434a9775ce175ef02" ns2:_="">
    <xsd:import namespace="64b14699-a483-46cf-b5e1-dd3523746250"/>
    <xsd:element name="properties">
      <xsd:complexType>
        <xsd:sequence>
          <xsd:element name="documentManagement">
            <xsd:complexType>
              <xsd:all>
                <xsd:element ref="ns2:MediaServiceMetadata" minOccurs="0"/>
                <xsd:element ref="ns2:MediaServiceFast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4b14699-a483-46cf-b5e1-dd3523746250"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109F360-EE2E-40D8-BC5D-DB47CA0544F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4b14699-a483-46cf-b5e1-dd3523746250"/>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DC6CBCA-B428-47E4-A7D4-F71E2CD26F80}">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D2C9C475-2D3A-4345-933C-0523A17F31B7}">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DOJO Docket </vt:lpstr>
      <vt:lpstr>Roles- Members </vt:lpstr>
      <vt:lpstr>PUX Trim Tab</vt:lpstr>
      <vt:lpstr>Robotic steps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Anandan Kumaran</dc:creator>
  <cp:keywords/>
  <dc:description/>
  <cp:lastModifiedBy>Anandan Kumaran</cp:lastModifiedBy>
  <cp:revision/>
  <dcterms:created xsi:type="dcterms:W3CDTF">2020-03-13T05:41:35Z</dcterms:created>
  <dcterms:modified xsi:type="dcterms:W3CDTF">2020-12-18T13:53:43Z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0x010100AD2EB01ADEBCD64E83604B7604CB38E0</vt:lpwstr>
  </property>
</Properties>
</file>