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781A7155-2A7D-4D13-9E42-1D6647F30824}" xr6:coauthVersionLast="46" xr6:coauthVersionMax="46" xr10:uidLastSave="{00000000-0000-0000-0000-000000000000}"/>
  <bookViews>
    <workbookView xWindow="705" yWindow="330" windowWidth="24720" windowHeight="14925" activeTab="3" xr2:uid="{B3A634E3-7B0D-49A1-AC45-20D6757FFE73}"/>
  </bookViews>
  <sheets>
    <sheet name="Colored Customer Journey Map" sheetId="2" r:id="rId1"/>
    <sheet name="PUX Trim Tab Restaurant Example" sheetId="1" r:id="rId2"/>
    <sheet name="PUX Trim Tab Example B" sheetId="4" r:id="rId3"/>
    <sheet name="Customers Identificatio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4" l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<sst xmlns="http://schemas.openxmlformats.org/spreadsheetml/2006/main" count="92" uniqueCount="72">
  <si>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</si>
  <si>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</si>
  <si>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</si>
  <si>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</si>
  <si>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</si>
  <si>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</si>
  <si>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</si>
  <si>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</si>
  <si>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</si>
  <si>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</si>
  <si>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</si>
  <si>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</si>
  <si>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</si>
  <si>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</si>
  <si>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</si>
  <si>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</si>
  <si>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</si>
  <si>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</si>
  <si>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</si>
  <si>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</si>
  <si>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</si>
  <si>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</si>
  <si>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</si>
  <si>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</si>
  <si>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</si>
  <si>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</si>
  <si>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</si>
  <si>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</si>
  <si>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</si>
  <si>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</si>
  <si>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</si>
  <si>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</si>
  <si>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</si>
  <si>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</si>
  <si>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</si>
  <si>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</si>
  <si>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</si>
  <si>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</si>
  <si>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</si>
  <si>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</si>
  <si>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</si>
  <si>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</si>
  <si>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</si>
  <si>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</si>
  <si>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</si>
  <si>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</si>
  <si>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</si>
  <si>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</si>
  <si>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</si>
  <si>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</si>
  <si>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</si>
  <si>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</si>
  <si>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</si>
  <si>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</si>
  <si>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</si>
  <si>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12.1.1</t>
  </si>
  <si>
    <t>Move to prod</t>
  </si>
  <si>
    <t>12.1.2</t>
  </si>
  <si>
    <t>12.2.1</t>
  </si>
  <si>
    <t>12.2.2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</si>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</sst>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3" fillId="0" borderId="0" xfId="0" applyFont="1"/>
    <xf numFmtId="0" fontId="1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 applyProtection="1">
      <alignment wrapText="1"/>
      <protection locked="0"/>
    </xf>
    <xf numFmtId="0" fontId="0" fillId="0" borderId="0" xfId="0" applyAlignment="1">
      <alignment horizontal="center" vertical="top"/>
    </xf>
    <xf numFmtId="0" fontId="8" fillId="3" borderId="2" xfId="0" applyFont="1" applyFill="1" applyBorder="1" applyAlignment="1">
      <alignment horizontal="center" vertical="top" wrapText="1"/>
    </xf>
    <xf numFmtId="0" fontId="8" fillId="3" borderId="1" xfId="0" applyFont="1" applyFill="1" applyBorder="1" applyAlignment="1">
      <alignment horizontal="center" vertical="top" wrapText="1"/>
    </xf>
    <xf numFmtId="0" fontId="1" fillId="0" borderId="14" xfId="0" applyFont="1" applyBorder="1"/>
    <xf numFmtId="0" fontId="1" fillId="0" borderId="13" xfId="0" applyFont="1" applyBorder="1"/>
    <xf numFmtId="0" fontId="0" fillId="0" borderId="11" xfId="0" applyBorder="1"/>
    <xf numFmtId="0" fontId="1" fillId="0" borderId="6" xfId="0" applyFont="1" applyBorder="1"/>
    <xf numFmtId="0" fontId="0" fillId="0" borderId="9" xfId="0" applyBorder="1"/>
    <xf numFmtId="0" fontId="1" fillId="0" borderId="8" xfId="0" applyFont="1" applyBorder="1"/>
    <xf numFmtId="0" fontId="9" fillId="4" borderId="17" xfId="0" applyFont="1" applyFill="1" applyBorder="1" applyAlignment="1">
      <alignment wrapText="1"/>
    </xf>
    <xf numFmtId="0" fontId="9" fillId="4" borderId="16" xfId="0" applyFont="1" applyFill="1" applyBorder="1" applyAlignment="1">
      <alignment wrapText="1"/>
    </xf>
    <xf numFmtId="0" fontId="9" fillId="4" borderId="15" xfId="0" applyFont="1" applyFill="1" applyBorder="1" applyAlignment="1">
      <alignment wrapText="1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7" fillId="0" borderId="0" xfId="0" applyFont="1" applyAlignment="1" applyProtection="1">
      <alignment vertical="top" wrapText="1"/>
      <protection locked="0"/>
    </xf>
  </cellXfs>
  <cellStyles count="1">
    <cellStyle name="Normal" xfId="0" builtinId="0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63500</xdr:rowOff>
    </xdr:from>
    <xdr:to>
      <xdr:col>3</xdr:col>
      <xdr:colOff>63500</xdr:colOff>
      <xdr:row>10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3</xdr:col>
      <xdr:colOff>698500</xdr:colOff>
      <xdr:row>3</xdr:row>
      <xdr:rowOff>63500</xdr:rowOff>
    </xdr:from>
    <xdr:to>
      <xdr:col>6</xdr:col>
      <xdr:colOff>127000</xdr:colOff>
      <xdr:row>10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2  Look for restaurant</a:t>
          </a:r>
        </a:p>
      </xdr:txBody>
    </xdr:sp>
    <xdr:clientData/>
  </xdr:twoCellAnchor>
  <xdr:twoCellAnchor>
    <xdr:from>
      <xdr:col>6</xdr:col>
      <xdr:colOff>762000</xdr:colOff>
      <xdr:row>3</xdr:row>
      <xdr:rowOff>63500</xdr:rowOff>
    </xdr:from>
    <xdr:to>
      <xdr:col>9</xdr:col>
      <xdr:colOff>190500</xdr:colOff>
      <xdr:row>10</xdr:row>
      <xdr:rowOff>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10</xdr:col>
      <xdr:colOff>0</xdr:colOff>
      <xdr:row>3</xdr:row>
      <xdr:rowOff>63500</xdr:rowOff>
    </xdr:from>
    <xdr:to>
      <xdr:col>12</xdr:col>
      <xdr:colOff>254000</xdr:colOff>
      <xdr:row>10</xdr:row>
      <xdr:rowOff>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13</xdr:col>
      <xdr:colOff>63500</xdr:colOff>
      <xdr:row>3</xdr:row>
      <xdr:rowOff>63500</xdr:rowOff>
    </xdr:from>
    <xdr:to>
      <xdr:col>15</xdr:col>
      <xdr:colOff>317500</xdr:colOff>
      <xdr:row>10</xdr:row>
      <xdr:rowOff>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13</xdr:col>
      <xdr:colOff>63500</xdr:colOff>
      <xdr:row>16</xdr:row>
      <xdr:rowOff>127000</xdr:rowOff>
    </xdr:from>
    <xdr:to>
      <xdr:col>15</xdr:col>
      <xdr:colOff>317500</xdr:colOff>
      <xdr:row>23</xdr:row>
      <xdr:rowOff>63500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10</xdr:col>
      <xdr:colOff>0</xdr:colOff>
      <xdr:row>16</xdr:row>
      <xdr:rowOff>127000</xdr:rowOff>
    </xdr:from>
    <xdr:to>
      <xdr:col>12</xdr:col>
      <xdr:colOff>254000</xdr:colOff>
      <xdr:row>23</xdr:row>
      <xdr:rowOff>63500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6</xdr:col>
      <xdr:colOff>762000</xdr:colOff>
      <xdr:row>16</xdr:row>
      <xdr:rowOff>127000</xdr:rowOff>
    </xdr:from>
    <xdr:to>
      <xdr:col>9</xdr:col>
      <xdr:colOff>190500</xdr:colOff>
      <xdr:row>23</xdr:row>
      <xdr:rowOff>63500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3</xdr:col>
      <xdr:colOff>698500</xdr:colOff>
      <xdr:row>16</xdr:row>
      <xdr:rowOff>127000</xdr:rowOff>
    </xdr:from>
    <xdr:to>
      <xdr:col>6</xdr:col>
      <xdr:colOff>127000</xdr:colOff>
      <xdr:row>23</xdr:row>
      <xdr:rowOff>63500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0</xdr:col>
      <xdr:colOff>635000</xdr:colOff>
      <xdr:row>16</xdr:row>
      <xdr:rowOff>127000</xdr:rowOff>
    </xdr:from>
    <xdr:to>
      <xdr:col>3</xdr:col>
      <xdr:colOff>63500</xdr:colOff>
      <xdr:row>23</xdr:row>
      <xdr:rowOff>63500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0</xdr:col>
      <xdr:colOff>635000</xdr:colOff>
      <xdr:row>30</xdr:row>
      <xdr:rowOff>0</xdr:rowOff>
    </xdr:from>
    <xdr:to>
      <xdr:col>3</xdr:col>
      <xdr:colOff>63500</xdr:colOff>
      <xdr:row>36</xdr:row>
      <xdr:rowOff>127000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3</xdr:col>
      <xdr:colOff>698500</xdr:colOff>
      <xdr:row>30</xdr:row>
      <xdr:rowOff>0</xdr:rowOff>
    </xdr:from>
    <xdr:to>
      <xdr:col>6</xdr:col>
      <xdr:colOff>127000</xdr:colOff>
      <xdr:row>36</xdr:row>
      <xdr:rowOff>127000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6</xdr:col>
      <xdr:colOff>762000</xdr:colOff>
      <xdr:row>30</xdr:row>
      <xdr:rowOff>0</xdr:rowOff>
    </xdr:from>
    <xdr:to>
      <xdr:col>9</xdr:col>
      <xdr:colOff>190500</xdr:colOff>
      <xdr:row>36</xdr:row>
      <xdr:rowOff>127000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13  Eat Dessert</a:t>
          </a:r>
        </a:p>
      </xdr:txBody>
    </xdr:sp>
    <xdr:clientData/>
  </xdr:twoCellAnchor>
  <xdr:twoCellAnchor>
    <xdr:from>
      <xdr:col>10</xdr:col>
      <xdr:colOff>0</xdr:colOff>
      <xdr:row>30</xdr:row>
      <xdr:rowOff>0</xdr:rowOff>
    </xdr:from>
    <xdr:to>
      <xdr:col>12</xdr:col>
      <xdr:colOff>254000</xdr:colOff>
      <xdr:row>36</xdr:row>
      <xdr:rowOff>127000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13</xdr:col>
      <xdr:colOff>63500</xdr:colOff>
      <xdr:row>30</xdr:row>
      <xdr:rowOff>0</xdr:rowOff>
    </xdr:from>
    <xdr:to>
      <xdr:col>15</xdr:col>
      <xdr:colOff>317500</xdr:colOff>
      <xdr:row>36</xdr:row>
      <xdr:rowOff>127000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13</xdr:col>
      <xdr:colOff>63500</xdr:colOff>
      <xdr:row>43</xdr:row>
      <xdr:rowOff>63500</xdr:rowOff>
    </xdr:from>
    <xdr:to>
      <xdr:col>15</xdr:col>
      <xdr:colOff>317500</xdr:colOff>
      <xdr:row>50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3</xdr:col>
      <xdr:colOff>63500</xdr:colOff>
      <xdr:row>5</xdr:row>
      <xdr:rowOff>0</xdr:rowOff>
    </xdr:from>
    <xdr:to>
      <xdr:col>3</xdr:col>
      <xdr:colOff>698500</xdr:colOff>
      <xdr:row>6</xdr:row>
      <xdr:rowOff>127000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5</xdr:row>
      <xdr:rowOff>0</xdr:rowOff>
    </xdr:from>
    <xdr:to>
      <xdr:col>6</xdr:col>
      <xdr:colOff>762000</xdr:colOff>
      <xdr:row>6</xdr:row>
      <xdr:rowOff>127000</xdr:rowOff>
    </xdr:to>
    <xdr:sp macro="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5</xdr:row>
      <xdr:rowOff>0</xdr:rowOff>
    </xdr:from>
    <xdr:to>
      <xdr:col>10</xdr:col>
      <xdr:colOff>0</xdr:colOff>
      <xdr:row>6</xdr:row>
      <xdr:rowOff>127000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5</xdr:row>
      <xdr:rowOff>0</xdr:rowOff>
    </xdr:from>
    <xdr:to>
      <xdr:col>13</xdr:col>
      <xdr:colOff>63500</xdr:colOff>
      <xdr:row>6</xdr:row>
      <xdr:rowOff>127000</xdr:rowOff>
    </xdr:to>
    <xdr:sp macro="" textlink="">
      <xdr:nvSpPr>
        <xdr:cNvPr id="21" name="Right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10</xdr:row>
      <xdr:rowOff>0</xdr:rowOff>
    </xdr:from>
    <xdr:to>
      <xdr:col>14</xdr:col>
      <xdr:colOff>508000</xdr:colOff>
      <xdr:row>16</xdr:row>
      <xdr:rowOff>127000</xdr:rowOff>
    </xdr:to>
    <xdr:sp macro="" textlink="">
      <xdr:nvSpPr>
        <xdr:cNvPr id="22" name="Down Arrow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18</xdr:row>
      <xdr:rowOff>63500</xdr:rowOff>
    </xdr:from>
    <xdr:to>
      <xdr:col>13</xdr:col>
      <xdr:colOff>63500</xdr:colOff>
      <xdr:row>20</xdr:row>
      <xdr:rowOff>0</xdr:rowOff>
    </xdr:to>
    <xdr:sp macro="" textlink="">
      <xdr:nvSpPr>
        <xdr:cNvPr id="23" name="Left Arrow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18</xdr:row>
      <xdr:rowOff>63500</xdr:rowOff>
    </xdr:from>
    <xdr:to>
      <xdr:col>10</xdr:col>
      <xdr:colOff>0</xdr:colOff>
      <xdr:row>20</xdr:row>
      <xdr:rowOff>0</xdr:rowOff>
    </xdr:to>
    <xdr:sp macro="" textlink="">
      <xdr:nvSpPr>
        <xdr:cNvPr id="24" name="Left Arr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18</xdr:row>
      <xdr:rowOff>63500</xdr:rowOff>
    </xdr:from>
    <xdr:to>
      <xdr:col>6</xdr:col>
      <xdr:colOff>762000</xdr:colOff>
      <xdr:row>20</xdr:row>
      <xdr:rowOff>0</xdr:rowOff>
    </xdr:to>
    <xdr:sp macro="" textlink="">
      <xdr:nvSpPr>
        <xdr:cNvPr id="25" name="Left Arrow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18</xdr:row>
      <xdr:rowOff>63500</xdr:rowOff>
    </xdr:from>
    <xdr:to>
      <xdr:col>3</xdr:col>
      <xdr:colOff>698500</xdr:colOff>
      <xdr:row>20</xdr:row>
      <xdr:rowOff>0</xdr:rowOff>
    </xdr:to>
    <xdr:sp macro="" textlink="">
      <xdr:nvSpPr>
        <xdr:cNvPr id="26" name="Left Arrow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444500</xdr:colOff>
      <xdr:row>23</xdr:row>
      <xdr:rowOff>63500</xdr:rowOff>
    </xdr:from>
    <xdr:to>
      <xdr:col>2</xdr:col>
      <xdr:colOff>254000</xdr:colOff>
      <xdr:row>30</xdr:row>
      <xdr:rowOff>0</xdr:rowOff>
    </xdr:to>
    <xdr:sp macro="" textlink="">
      <xdr:nvSpPr>
        <xdr:cNvPr id="27" name="Down Arr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31</xdr:row>
      <xdr:rowOff>127000</xdr:rowOff>
    </xdr:from>
    <xdr:to>
      <xdr:col>3</xdr:col>
      <xdr:colOff>698500</xdr:colOff>
      <xdr:row>33</xdr:row>
      <xdr:rowOff>63500</xdr:rowOff>
    </xdr:to>
    <xdr:sp macro="" textlink="">
      <xdr:nvSpPr>
        <xdr:cNvPr id="28" name="Right Arr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31</xdr:row>
      <xdr:rowOff>127000</xdr:rowOff>
    </xdr:from>
    <xdr:to>
      <xdr:col>6</xdr:col>
      <xdr:colOff>762000</xdr:colOff>
      <xdr:row>33</xdr:row>
      <xdr:rowOff>63500</xdr:rowOff>
    </xdr:to>
    <xdr:sp macro="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31</xdr:row>
      <xdr:rowOff>127000</xdr:rowOff>
    </xdr:from>
    <xdr:to>
      <xdr:col>10</xdr:col>
      <xdr:colOff>0</xdr:colOff>
      <xdr:row>33</xdr:row>
      <xdr:rowOff>63500</xdr:rowOff>
    </xdr:to>
    <xdr:sp macro="" textlink="">
      <xdr:nvSpPr>
        <xdr:cNvPr id="30" name="Right Arrow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31</xdr:row>
      <xdr:rowOff>127000</xdr:rowOff>
    </xdr:from>
    <xdr:to>
      <xdr:col>13</xdr:col>
      <xdr:colOff>63500</xdr:colOff>
      <xdr:row>33</xdr:row>
      <xdr:rowOff>63500</xdr:rowOff>
    </xdr:to>
    <xdr:sp macro="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36</xdr:row>
      <xdr:rowOff>127000</xdr:rowOff>
    </xdr:from>
    <xdr:to>
      <xdr:col>14</xdr:col>
      <xdr:colOff>508000</xdr:colOff>
      <xdr:row>43</xdr:row>
      <xdr:rowOff>63500</xdr:rowOff>
    </xdr:to>
    <xdr:sp macro="" textlink="">
      <xdr:nvSpPr>
        <xdr:cNvPr id="32" name="Down Arrow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5122" name="Button 2" descr="Create Customer Journey Ma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28" dataDxfId="26" headerRowBorderDxfId="27">
  <tableColumns count="2">
    <tableColumn id="1" xr3:uid="{A1834E27-94EC-4053-8656-C0CB318E128C}" name="Step Number" dataDxfId="25"/>
    <tableColumn id="2" xr3:uid="{D6C2D0AD-C2F2-4490-B0EB-51ECE27D70FE}" name="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23" dataDxfId="21" headerRowBorderDxfId="22">
  <tableColumns count="5">
    <tableColumn id="2" xr3:uid="{4DCD6222-9668-4BE9-B0E8-A614070CB77C}" name="Negative Emotion" dataDxfId="20"/>
    <tableColumn id="3" xr3:uid="{DFC55628-5C2D-426C-9D40-7F02EDA38FB4}" name="High TAT" dataDxfId="19"/>
    <tableColumn id="4" xr3:uid="{3F4F6365-C778-4018-A452-6FAD76496835}" name="Opposes Intention" dataDxfId="18"/>
    <tableColumn id="5" xr3:uid="{41C8534F-B9D3-4A09-ACE1-1BDD1A45149B}" name="Trim Tab" dataDxfId="17">
      <calculatedColumnFormula>AVERAGE(Table2[[#This Row],[Negative Emotion]:[Opposes Intention]])</calculatedColumnFormula>
    </tableColumn>
    <tableColumn id="6" xr3:uid="{BE700835-D18A-4DE3-A809-981BE1CE6788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9CF47B-9E04-A44A-AC83-0298F2C04AB4}" name="Table14" displayName="Table14" ref="B16:C58" totalsRowShown="0" headerRowDxfId="15" dataDxfId="13" headerRowBorderDxfId="14">
  <tableColumns count="2">
    <tableColumn id="1" xr3:uid="{A1834E27-94EC-4053-8656-C0CB318E128C}" name="Step Number" dataDxfId="12"/>
    <tableColumn id="2" xr3:uid="{D6C2D0AD-C2F2-4490-B0EB-51ECE27D70FE}" name="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F0A6D8-29A5-0447-8273-BC990C121B0A}" name="Table25" displayName="Table25" ref="D16:H58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AVERAGE(Table25[[#This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02A04-18C9-9A4E-B916-C944AD5200FA}">
  <dimension ref="A1"/>
  <sheetViews>
    <sheetView workbookViewId="0"/>
  </sheetViews>
  <sheetFormatPr defaultColWidth="11.425781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zoomScaleNormal="83" workbookViewId="0">
      <selection activeCell="D8" sqref="D8:J8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58" t="s">
        <v>11</v>
      </c>
      <c r="E5" s="59"/>
      <c r="F5" s="59"/>
      <c r="G5" s="59"/>
      <c r="H5" s="59"/>
      <c r="I5" s="59"/>
      <c r="J5" s="60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61" t="s">
        <v>60</v>
      </c>
      <c r="E6" s="62"/>
      <c r="F6" s="62"/>
      <c r="G6" s="62"/>
      <c r="H6" s="62"/>
      <c r="I6" s="62"/>
      <c r="J6" s="63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61" t="s">
        <v>28</v>
      </c>
      <c r="E7" s="62"/>
      <c r="F7" s="62"/>
      <c r="G7" s="62"/>
      <c r="H7" s="62"/>
      <c r="I7" s="62"/>
      <c r="J7" s="63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12</v>
      </c>
      <c r="D8" s="64"/>
      <c r="E8" s="65"/>
      <c r="F8" s="65"/>
      <c r="G8" s="65"/>
      <c r="H8" s="65"/>
      <c r="I8" s="65"/>
      <c r="J8" s="66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13</v>
      </c>
      <c r="D9" s="64" t="s">
        <v>14</v>
      </c>
      <c r="E9" s="65"/>
      <c r="F9" s="65"/>
      <c r="G9" s="65"/>
      <c r="H9" s="65"/>
      <c r="I9" s="65"/>
      <c r="J9" s="66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55" t="s">
        <v>40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56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56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57"/>
      <c r="D14" s="32">
        <v>0</v>
      </c>
      <c r="E14" s="33" t="s">
        <v>32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5.75">
      <c r="B17" s="11">
        <v>1</v>
      </c>
      <c r="C17" s="12" t="s">
        <v>37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39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 t="s">
        <v>38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 t="s">
        <v>35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36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C297-147E-714F-A694-50F4B9EEDA5E}">
  <sheetPr codeName="Sheet2"/>
  <dimension ref="B1:M58"/>
  <sheetViews>
    <sheetView showGridLines="0" zoomScale="70" zoomScaleNormal="70" workbookViewId="0">
      <selection activeCell="M30" sqref="M30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2:12" ht="26.25">
      <c r="B1" s="38" t="s">
        <v>8</v>
      </c>
      <c r="C1" s="4"/>
      <c r="D1"/>
      <c r="E1"/>
      <c r="F1"/>
    </row>
    <row r="2" spans="2:12">
      <c r="C2" s="39"/>
      <c r="D2" s="2"/>
      <c r="E2"/>
      <c r="F2"/>
    </row>
    <row r="3" spans="2:12" ht="15" customHeight="1">
      <c r="B3" s="7"/>
      <c r="C3" s="40" t="s">
        <v>9</v>
      </c>
      <c r="D3" s="2"/>
      <c r="E3"/>
      <c r="F3"/>
    </row>
    <row r="4" spans="2:12" ht="15" customHeight="1" thickBot="1">
      <c r="B4" s="7"/>
      <c r="D4" s="8"/>
      <c r="E4" s="5"/>
      <c r="F4" s="2"/>
      <c r="G4" s="2"/>
      <c r="H4" s="2"/>
      <c r="I4" s="2"/>
      <c r="K4" s="2"/>
      <c r="L4" s="2"/>
    </row>
    <row r="5" spans="2:12" ht="31.5" customHeight="1">
      <c r="B5" s="7"/>
      <c r="C5" s="54" t="s">
        <v>34</v>
      </c>
      <c r="D5" s="58" t="s">
        <v>41</v>
      </c>
      <c r="E5" s="59"/>
      <c r="F5" s="59"/>
      <c r="G5" s="59"/>
      <c r="H5" s="59"/>
      <c r="I5" s="59"/>
      <c r="J5" s="60"/>
      <c r="K5" s="2"/>
      <c r="L5" s="2"/>
    </row>
    <row r="6" spans="2:12" ht="31.5" customHeight="1">
      <c r="B6" s="7"/>
      <c r="C6" s="53" t="s">
        <v>33</v>
      </c>
      <c r="D6" s="61" t="s">
        <v>42</v>
      </c>
      <c r="E6" s="62"/>
      <c r="F6" s="62"/>
      <c r="G6" s="62"/>
      <c r="H6" s="62"/>
      <c r="I6" s="62"/>
      <c r="J6" s="63"/>
      <c r="K6" s="2"/>
      <c r="L6" s="2"/>
    </row>
    <row r="7" spans="2:12" ht="15" customHeight="1">
      <c r="B7" s="7"/>
      <c r="C7" s="53" t="s">
        <v>10</v>
      </c>
      <c r="D7" s="61" t="s">
        <v>43</v>
      </c>
      <c r="E7" s="62"/>
      <c r="F7" s="62"/>
      <c r="G7" s="62"/>
      <c r="H7" s="62"/>
      <c r="I7" s="62"/>
      <c r="J7" s="63"/>
      <c r="K7" s="2"/>
      <c r="L7" s="2"/>
    </row>
    <row r="8" spans="2:12" ht="31.5">
      <c r="B8" s="7"/>
      <c r="C8" s="53" t="s">
        <v>12</v>
      </c>
      <c r="D8" s="64"/>
      <c r="E8" s="65"/>
      <c r="F8" s="65"/>
      <c r="G8" s="65"/>
      <c r="H8" s="65"/>
      <c r="I8" s="65"/>
      <c r="J8" s="66"/>
      <c r="K8" s="2"/>
      <c r="L8" s="2"/>
    </row>
    <row r="9" spans="2:12" ht="32.25" thickBot="1">
      <c r="B9" s="7"/>
      <c r="C9" s="52" t="s">
        <v>13</v>
      </c>
      <c r="D9" s="64" t="s">
        <v>14</v>
      </c>
      <c r="E9" s="65"/>
      <c r="F9" s="65"/>
      <c r="G9" s="65"/>
      <c r="H9" s="65"/>
      <c r="I9" s="65"/>
      <c r="J9" s="66"/>
      <c r="K9" s="2"/>
      <c r="L9" s="2"/>
    </row>
    <row r="10" spans="2:12" ht="16.5" thickBot="1">
      <c r="B10" s="7"/>
      <c r="C10" s="41"/>
      <c r="D10" s="9"/>
      <c r="E10" s="5"/>
      <c r="F10" s="5"/>
      <c r="G10" s="6"/>
      <c r="H10" s="6"/>
      <c r="I10" s="6"/>
      <c r="J10" s="6"/>
      <c r="K10" s="2"/>
      <c r="L10" s="2"/>
    </row>
    <row r="11" spans="2:12">
      <c r="C11" s="67" t="s">
        <v>40</v>
      </c>
      <c r="D11" s="27">
        <v>3</v>
      </c>
      <c r="E11" s="51" t="s">
        <v>29</v>
      </c>
      <c r="F11" s="50"/>
      <c r="I11" s="2"/>
      <c r="J11" s="2"/>
    </row>
    <row r="12" spans="2:12">
      <c r="C12" s="68"/>
      <c r="D12" s="30">
        <v>2</v>
      </c>
      <c r="E12" s="49" t="s">
        <v>30</v>
      </c>
      <c r="F12" s="48"/>
      <c r="I12" s="2"/>
      <c r="J12" s="2"/>
    </row>
    <row r="13" spans="2:12">
      <c r="C13" s="68"/>
      <c r="D13" s="30">
        <v>1</v>
      </c>
      <c r="E13" s="49" t="s">
        <v>31</v>
      </c>
      <c r="F13" s="48"/>
      <c r="I13" s="2"/>
      <c r="J13" s="2"/>
    </row>
    <row r="14" spans="2:12" ht="15" customHeight="1" thickBot="1">
      <c r="B14" s="7"/>
      <c r="C14" s="69"/>
      <c r="D14" s="32">
        <v>0</v>
      </c>
      <c r="E14" s="47" t="s">
        <v>32</v>
      </c>
      <c r="F14" s="46"/>
      <c r="K14" s="2"/>
      <c r="L14" s="2"/>
    </row>
    <row r="15" spans="2:12" ht="16.5" thickBot="1">
      <c r="B15" s="7"/>
      <c r="C15" s="41"/>
      <c r="D15" s="9"/>
      <c r="E15" s="5"/>
      <c r="F15" s="5"/>
      <c r="G15" s="2"/>
      <c r="H15" s="6"/>
      <c r="I15" s="6"/>
      <c r="J15" s="6"/>
      <c r="K15" s="2"/>
      <c r="L15" s="2"/>
    </row>
    <row r="16" spans="2:12" s="43" customFormat="1" ht="34.5" customHeight="1" thickBot="1">
      <c r="B16" s="45" t="s">
        <v>4</v>
      </c>
      <c r="C16" s="44" t="s">
        <v>1</v>
      </c>
      <c r="D16" s="44" t="s">
        <v>5</v>
      </c>
      <c r="E16" s="44" t="s">
        <v>6</v>
      </c>
      <c r="F16" s="44" t="s">
        <v>7</v>
      </c>
      <c r="G16" s="44" t="s">
        <v>15</v>
      </c>
      <c r="H16" s="44" t="s">
        <v>0</v>
      </c>
      <c r="I16" s="10"/>
      <c r="J16" s="10"/>
    </row>
    <row r="17" spans="2:13" ht="15.75">
      <c r="B17" s="11">
        <v>1</v>
      </c>
      <c r="C17" s="12" t="s">
        <v>44</v>
      </c>
      <c r="D17" s="5">
        <v>0</v>
      </c>
      <c r="E17" s="5">
        <v>0</v>
      </c>
      <c r="F17" s="5">
        <v>0</v>
      </c>
      <c r="G17" s="2">
        <f>AVERAGE(Table25[[#This Row],[Negative Emotion]:[Opposes Intention]])</f>
        <v>0</v>
      </c>
      <c r="H17" s="6"/>
      <c r="I17" s="3"/>
      <c r="J17" s="3"/>
    </row>
    <row r="18" spans="2:13" ht="15.75">
      <c r="B18" s="11">
        <v>2</v>
      </c>
      <c r="C18" s="12" t="s">
        <v>45</v>
      </c>
      <c r="D18" s="5">
        <v>3</v>
      </c>
      <c r="E18" s="5">
        <v>3</v>
      </c>
      <c r="F18" s="5">
        <v>3</v>
      </c>
      <c r="G18" s="2">
        <f>AVERAGE(Table25[[#This Row],[Negative Emotion]:[Opposes Intention]])</f>
        <v>3</v>
      </c>
      <c r="H18" s="6"/>
      <c r="I18" s="3"/>
      <c r="J18" s="3"/>
      <c r="M18">
        <v>3</v>
      </c>
    </row>
    <row r="19" spans="2:13" ht="15.75">
      <c r="B19" s="11">
        <v>3</v>
      </c>
      <c r="C19" s="12" t="s">
        <v>46</v>
      </c>
      <c r="D19" s="5">
        <v>1</v>
      </c>
      <c r="E19" s="5">
        <v>2</v>
      </c>
      <c r="F19" s="5">
        <v>1</v>
      </c>
      <c r="G19" s="2">
        <f>AVERAGE(Table25[[#This Row],[Negative Emotion]:[Opposes Intention]])</f>
        <v>1.3333333333333333</v>
      </c>
      <c r="H19" s="6"/>
      <c r="I19" s="3"/>
      <c r="J19" s="3"/>
      <c r="M19">
        <v>2</v>
      </c>
    </row>
    <row r="20" spans="2:13" ht="15.75">
      <c r="B20" s="11">
        <v>4</v>
      </c>
      <c r="C20" s="42" t="s">
        <v>47</v>
      </c>
      <c r="D20" s="5">
        <v>0</v>
      </c>
      <c r="E20" s="5">
        <v>0</v>
      </c>
      <c r="F20" s="5">
        <v>0</v>
      </c>
      <c r="G20" s="2">
        <f>AVERAGE(Table25[[#This Row],[Negative Emotion]:[Opposes Intention]])</f>
        <v>0</v>
      </c>
      <c r="H20" s="6"/>
      <c r="I20" s="3"/>
      <c r="J20" s="3"/>
      <c r="M20">
        <v>1</v>
      </c>
    </row>
    <row r="21" spans="2:13" ht="15.75">
      <c r="B21" s="11">
        <v>5</v>
      </c>
      <c r="C21" s="12" t="s">
        <v>48</v>
      </c>
      <c r="D21" s="5">
        <v>3</v>
      </c>
      <c r="E21" s="5">
        <v>3</v>
      </c>
      <c r="F21" s="5">
        <v>3</v>
      </c>
      <c r="G21" s="2">
        <f>AVERAGE(Table25[[#This Row],[Negative Emotion]:[Opposes Intention]])</f>
        <v>3</v>
      </c>
      <c r="H21" s="6"/>
      <c r="I21" s="3"/>
      <c r="J21" s="3"/>
      <c r="M21">
        <v>0</v>
      </c>
    </row>
    <row r="22" spans="2:13" ht="15.75">
      <c r="B22" s="11">
        <v>6</v>
      </c>
      <c r="C22" s="12" t="s">
        <v>49</v>
      </c>
      <c r="D22" s="5">
        <v>2</v>
      </c>
      <c r="E22" s="5">
        <v>2</v>
      </c>
      <c r="F22" s="5">
        <v>2</v>
      </c>
      <c r="G22" s="2">
        <f>AVERAGE(Table25[[#This Row],[Negative Emotion]:[Opposes Intention]])</f>
        <v>2</v>
      </c>
      <c r="H22" s="6"/>
      <c r="I22" s="3"/>
      <c r="J22" s="3"/>
    </row>
    <row r="23" spans="2:13" ht="15.75">
      <c r="B23" s="11">
        <v>7</v>
      </c>
      <c r="C23" s="12" t="s">
        <v>50</v>
      </c>
      <c r="D23" s="5">
        <v>1</v>
      </c>
      <c r="E23" s="5">
        <v>1</v>
      </c>
      <c r="F23" s="5">
        <v>1</v>
      </c>
      <c r="G23" s="2">
        <f>AVERAGE(Table25[[#This Row],[Negative Emotion]:[Opposes Intention]])</f>
        <v>1</v>
      </c>
      <c r="H23" s="6"/>
      <c r="I23" s="3"/>
      <c r="J23" s="3"/>
    </row>
    <row r="24" spans="2:13" ht="15.75">
      <c r="B24" s="11">
        <v>8</v>
      </c>
      <c r="C24" s="12" t="s">
        <v>51</v>
      </c>
      <c r="D24" s="5">
        <v>0</v>
      </c>
      <c r="E24" s="5">
        <v>0</v>
      </c>
      <c r="F24" s="5">
        <v>0</v>
      </c>
      <c r="G24" s="2">
        <f>AVERAGE(Table25[[#This Row],[Negative Emotion]:[Opposes Intention]])</f>
        <v>0</v>
      </c>
      <c r="H24" s="6"/>
      <c r="I24" s="3"/>
      <c r="J24" s="3"/>
    </row>
    <row r="25" spans="2:13">
      <c r="B25" s="11">
        <v>9</v>
      </c>
      <c r="C25" s="4" t="s">
        <v>52</v>
      </c>
      <c r="D25" s="5">
        <v>1</v>
      </c>
      <c r="E25" s="5">
        <v>1</v>
      </c>
      <c r="F25" s="5">
        <v>1</v>
      </c>
      <c r="G25" s="2">
        <f>AVERAGE(Table25[[#This Row],[Negative Emotion]:[Opposes Intention]])</f>
        <v>1</v>
      </c>
      <c r="H25" s="6"/>
      <c r="I25" s="3"/>
      <c r="J25" s="3"/>
    </row>
    <row r="26" spans="2:13" ht="15.75">
      <c r="B26" s="11">
        <v>10</v>
      </c>
      <c r="C26" s="12" t="s">
        <v>53</v>
      </c>
      <c r="D26" s="5">
        <v>0</v>
      </c>
      <c r="E26" s="5">
        <v>3</v>
      </c>
      <c r="F26" s="5">
        <v>3</v>
      </c>
      <c r="G26" s="2">
        <f>AVERAGE(Table25[[#This Row],[Negative Emotion]:[Opposes Intention]])</f>
        <v>2</v>
      </c>
      <c r="H26" s="6"/>
      <c r="I26" s="3"/>
      <c r="J26" s="3"/>
    </row>
    <row r="27" spans="2:13" ht="15.75">
      <c r="B27" s="11">
        <v>11</v>
      </c>
      <c r="C27" s="12" t="s">
        <v>54</v>
      </c>
      <c r="D27" s="5">
        <v>3</v>
      </c>
      <c r="E27" s="5">
        <v>2</v>
      </c>
      <c r="F27" s="5">
        <v>3</v>
      </c>
      <c r="G27" s="2">
        <f>AVERAGE(Table25[[#This Row],[Negative Emotion]:[Opposes Intention]])</f>
        <v>2.6666666666666665</v>
      </c>
      <c r="H27" s="6"/>
      <c r="I27" s="3"/>
      <c r="J27" s="3"/>
    </row>
    <row r="28" spans="2:13" ht="15.75">
      <c r="B28" s="11" t="s">
        <v>55</v>
      </c>
      <c r="C28" s="12" t="s">
        <v>56</v>
      </c>
      <c r="D28" s="5">
        <v>0</v>
      </c>
      <c r="E28" s="5">
        <v>0</v>
      </c>
      <c r="F28" s="5">
        <v>0</v>
      </c>
      <c r="G28" s="2">
        <f>AVERAGE(Table25[[#This Row],[Negative Emotion]:[Opposes Intention]])</f>
        <v>0</v>
      </c>
      <c r="H28" s="6"/>
      <c r="I28" s="3"/>
      <c r="J28" s="3"/>
    </row>
    <row r="29" spans="2:13">
      <c r="B29" s="11" t="s">
        <v>57</v>
      </c>
      <c r="C29" s="4"/>
      <c r="D29" s="5">
        <v>0</v>
      </c>
      <c r="E29" s="5">
        <v>0</v>
      </c>
      <c r="F29" s="5">
        <v>0</v>
      </c>
      <c r="G29" s="2">
        <f>AVERAGE(Table25[[#This Row],[Negative Emotion]:[Opposes Intention]])</f>
        <v>0</v>
      </c>
      <c r="H29" s="6"/>
      <c r="I29" s="3"/>
      <c r="J29" s="3"/>
    </row>
    <row r="30" spans="2:13" ht="15.75">
      <c r="B30" s="11">
        <v>14</v>
      </c>
      <c r="C30" s="12"/>
      <c r="D30" s="5">
        <v>0</v>
      </c>
      <c r="E30" s="5">
        <v>0</v>
      </c>
      <c r="F30" s="5">
        <v>0</v>
      </c>
      <c r="G30" s="2">
        <f>AVERAGE(Table25[[#This Row],[Negative Emotion]:[Opposes Intention]])</f>
        <v>0</v>
      </c>
      <c r="H30" s="6"/>
      <c r="I30" s="3"/>
      <c r="J30" s="3"/>
    </row>
    <row r="31" spans="2:13" ht="15.75">
      <c r="B31" s="11">
        <v>15</v>
      </c>
      <c r="C31" s="12"/>
      <c r="D31" s="5">
        <v>0</v>
      </c>
      <c r="E31" s="5">
        <v>0</v>
      </c>
      <c r="F31" s="5">
        <v>0</v>
      </c>
      <c r="G31" s="2">
        <f>AVERAGE(Table25[[#This Row],[Negative Emotion]:[Opposes Intention]])</f>
        <v>0</v>
      </c>
      <c r="H31" s="6"/>
      <c r="I31" s="3"/>
      <c r="J31" s="3"/>
    </row>
    <row r="32" spans="2:13" ht="15.75">
      <c r="B32" s="11">
        <v>16</v>
      </c>
      <c r="C32" s="12"/>
      <c r="D32" s="5">
        <v>0</v>
      </c>
      <c r="E32" s="5">
        <v>0</v>
      </c>
      <c r="F32" s="5">
        <v>0</v>
      </c>
      <c r="G32" s="2">
        <f>AVERAGE(Table25[[#This Row],[Negative Emotion]:[Opposes Intention]])</f>
        <v>0</v>
      </c>
      <c r="H32" s="6"/>
      <c r="I32" s="3"/>
      <c r="J32" s="3"/>
    </row>
    <row r="33" spans="2:8" ht="15.75">
      <c r="B33" s="11" t="s">
        <v>58</v>
      </c>
      <c r="C33" s="25"/>
      <c r="D33" s="5">
        <v>0</v>
      </c>
      <c r="E33" s="5">
        <v>0</v>
      </c>
      <c r="F33" s="5">
        <v>0</v>
      </c>
      <c r="G33" s="2">
        <f>AVERAGE(Table25[[#This Row],[Negative Emotion]:[Opposes Intention]])</f>
        <v>0</v>
      </c>
      <c r="H33" s="6"/>
    </row>
    <row r="34" spans="2:8" ht="15.75">
      <c r="B34" s="11" t="s">
        <v>59</v>
      </c>
      <c r="C34" s="25"/>
      <c r="D34" s="5">
        <v>0</v>
      </c>
      <c r="E34" s="5">
        <v>0</v>
      </c>
      <c r="F34" s="5">
        <v>0</v>
      </c>
      <c r="G34" s="2">
        <f>AVERAGE(Table25[[#This Row],[Negative Emotion]:[Opposes Intention]])</f>
        <v>0</v>
      </c>
      <c r="H34" s="6"/>
    </row>
    <row r="35" spans="2:8" ht="15.75">
      <c r="B35" s="11"/>
      <c r="C35" s="12"/>
      <c r="D35" s="5">
        <v>0</v>
      </c>
      <c r="E35" s="5">
        <v>0</v>
      </c>
      <c r="F35" s="5">
        <v>0</v>
      </c>
      <c r="G35" s="2">
        <f>AVERAGE(Table25[[#This Row],[Negative Emotion]:[Opposes Intention]])</f>
        <v>0</v>
      </c>
      <c r="H35" s="6"/>
    </row>
    <row r="36" spans="2:8" ht="15.75">
      <c r="B36" s="11"/>
      <c r="C36" s="25"/>
      <c r="D36" s="5">
        <v>0</v>
      </c>
      <c r="E36" s="5">
        <v>0</v>
      </c>
      <c r="F36" s="5">
        <v>0</v>
      </c>
      <c r="G36" s="2">
        <f>AVERAGE(Table25[[#This Row],[Negative Emotion]:[Opposes Intention]])</f>
        <v>0</v>
      </c>
      <c r="H36" s="6"/>
    </row>
    <row r="37" spans="2:8" ht="15.75">
      <c r="B37" s="11"/>
      <c r="C37" s="12"/>
      <c r="D37" s="5">
        <v>0</v>
      </c>
      <c r="E37" s="5">
        <v>0</v>
      </c>
      <c r="F37" s="5">
        <v>0</v>
      </c>
      <c r="G37" s="2">
        <f>AVERAGE(Table25[[#This Row],[Negative Emotion]:[Opposes Intention]])</f>
        <v>0</v>
      </c>
      <c r="H37" s="6"/>
    </row>
    <row r="38" spans="2:8" ht="15.75">
      <c r="B38" s="11"/>
      <c r="C38" s="12"/>
      <c r="D38" s="5">
        <v>0</v>
      </c>
      <c r="E38" s="5">
        <v>0</v>
      </c>
      <c r="F38" s="5">
        <v>0</v>
      </c>
      <c r="G38" s="2">
        <f>AVERAGE(Table25[[#This Row],[Negative Emotion]:[Opposes Intention]])</f>
        <v>0</v>
      </c>
      <c r="H38" s="6"/>
    </row>
    <row r="39" spans="2:8" ht="15.75">
      <c r="B39" s="11"/>
      <c r="C39" s="12"/>
      <c r="D39" s="5">
        <v>0</v>
      </c>
      <c r="E39" s="5">
        <v>0</v>
      </c>
      <c r="F39" s="5">
        <v>0</v>
      </c>
      <c r="G39" s="2">
        <f>AVERAGE(Table25[[#This Row],[Negative Emotion]:[Opposes Intention]])</f>
        <v>0</v>
      </c>
      <c r="H39" s="6"/>
    </row>
    <row r="40" spans="2:8" ht="15.75">
      <c r="B40" s="11"/>
      <c r="C40" s="12"/>
      <c r="D40" s="5">
        <v>0</v>
      </c>
      <c r="E40" s="5">
        <v>0</v>
      </c>
      <c r="F40" s="5">
        <v>0</v>
      </c>
      <c r="G40" s="2">
        <f>AVERAGE(Table25[[#This Row],[Negative Emotion]:[Opposes Intention]])</f>
        <v>0</v>
      </c>
      <c r="H40" s="6"/>
    </row>
    <row r="41" spans="2:8" ht="15.75">
      <c r="B41" s="11"/>
      <c r="C41" s="12"/>
      <c r="D41" s="5">
        <v>0</v>
      </c>
      <c r="E41" s="5">
        <v>0</v>
      </c>
      <c r="F41" s="5">
        <v>0</v>
      </c>
      <c r="G41" s="2">
        <f>AVERAGE(Table25[[#This Row],[Negative Emotion]:[Opposes Intention]])</f>
        <v>0</v>
      </c>
      <c r="H41" s="6"/>
    </row>
    <row r="42" spans="2:8" ht="15.75">
      <c r="B42" s="11"/>
      <c r="C42" s="12"/>
      <c r="D42" s="5">
        <v>0</v>
      </c>
      <c r="E42" s="5">
        <v>0</v>
      </c>
      <c r="F42" s="5">
        <v>0</v>
      </c>
      <c r="G42" s="2">
        <f>AVERAGE(Table25[[#This Row],[Negative Emotion]:[Opposes Intention]])</f>
        <v>0</v>
      </c>
      <c r="H42" s="6"/>
    </row>
    <row r="43" spans="2:8" ht="15.75">
      <c r="B43" s="11"/>
      <c r="C43" s="12"/>
      <c r="D43" s="5">
        <v>0</v>
      </c>
      <c r="E43" s="5">
        <v>0</v>
      </c>
      <c r="F43" s="5">
        <v>0</v>
      </c>
      <c r="G43" s="2">
        <f>AVERAGE(Table25[[#This Row],[Negative Emotion]:[Opposes Intention]])</f>
        <v>0</v>
      </c>
      <c r="H43" s="6"/>
    </row>
    <row r="44" spans="2:8" ht="15.75">
      <c r="B44" s="11"/>
      <c r="C44" s="12"/>
      <c r="D44" s="5">
        <v>0</v>
      </c>
      <c r="E44" s="5">
        <v>0</v>
      </c>
      <c r="F44" s="5">
        <v>0</v>
      </c>
      <c r="G44" s="2">
        <f>AVERAGE(Table25[[#This Row],[Negative Emotion]:[Opposes Intention]])</f>
        <v>0</v>
      </c>
      <c r="H44" s="6"/>
    </row>
    <row r="45" spans="2:8" ht="15.75">
      <c r="B45" s="11"/>
      <c r="C45" s="12"/>
      <c r="D45" s="5">
        <v>0</v>
      </c>
      <c r="E45" s="5">
        <v>0</v>
      </c>
      <c r="F45" s="5">
        <v>0</v>
      </c>
      <c r="G45" s="2">
        <f>AVERAGE(Table25[[#This Row],[Negative Emotion]:[Opposes Intention]])</f>
        <v>0</v>
      </c>
      <c r="H45" s="6"/>
    </row>
    <row r="46" spans="2:8" ht="15.75">
      <c r="B46" s="11"/>
      <c r="C46" s="12"/>
      <c r="D46" s="5">
        <v>0</v>
      </c>
      <c r="E46" s="5">
        <v>0</v>
      </c>
      <c r="F46" s="5">
        <v>0</v>
      </c>
      <c r="G46" s="2">
        <f>AVERAGE(Table25[[#This Row],[Negative Emotion]:[Opposes Intention]])</f>
        <v>0</v>
      </c>
      <c r="H46" s="6"/>
    </row>
    <row r="47" spans="2:8" ht="15.75">
      <c r="B47" s="11"/>
      <c r="C47" s="12"/>
      <c r="D47" s="5">
        <v>0</v>
      </c>
      <c r="E47" s="5">
        <v>0</v>
      </c>
      <c r="F47" s="5">
        <v>0</v>
      </c>
      <c r="G47" s="2">
        <f>AVERAGE(Table25[[#This Row],[Negative Emotion]:[Opposes Intention]])</f>
        <v>0</v>
      </c>
      <c r="H47" s="6"/>
    </row>
    <row r="48" spans="2:8" ht="15.75">
      <c r="B48" s="11"/>
      <c r="C48" s="12"/>
      <c r="D48" s="5">
        <v>0</v>
      </c>
      <c r="E48" s="5">
        <v>0</v>
      </c>
      <c r="F48" s="5">
        <v>0</v>
      </c>
      <c r="G48" s="2">
        <f>AVERAGE(Table25[[#This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">
        <f>AVERAGE(Table25[[#This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">
        <f>AVERAGE(Table25[[#This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">
        <f>AVERAGE(Table25[[#This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">
        <f>AVERAGE(Table25[[#This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">
        <f>AVERAGE(Table25[[#This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">
        <f>AVERAGE(Table25[[#This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">
        <f>AVERAGE(Table25[[#This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">
        <f>AVERAGE(Table25[[#This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">
        <f>AVERAGE(Table25[[#This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">
        <f>AVERAGE(Table25[[#This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25E628C6-62B5-244E-B943-9B1FE815551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D17:G17 D38:G58 G18:G19 G21:G37 D18:F37</xm:sqref>
        </x14:conditionalFormatting>
        <x14:conditionalFormatting xmlns:xm="http://schemas.microsoft.com/office/excel/2006/main">
          <x14:cfRule type="iconSet" priority="2" id="{DFCA784E-FD97-704F-80F6-F67C4F2E69A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3E32FC05-0416-DF4E-94EE-7252C4629984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G20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dimension ref="B3:G17"/>
  <sheetViews>
    <sheetView tabSelected="1" workbookViewId="0">
      <selection activeCell="D7" sqref="D7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70" t="s">
        <v>61</v>
      </c>
      <c r="C3" s="71" t="s">
        <v>62</v>
      </c>
      <c r="D3" s="72" t="s">
        <v>63</v>
      </c>
      <c r="E3" s="72" t="s">
        <v>64</v>
      </c>
    </row>
    <row r="4" spans="2:7" ht="31.5">
      <c r="B4">
        <v>1</v>
      </c>
      <c r="C4" s="75" t="s">
        <v>65</v>
      </c>
      <c r="D4" s="75" t="s">
        <v>69</v>
      </c>
      <c r="E4" s="74">
        <v>1000</v>
      </c>
      <c r="F4" s="73"/>
      <c r="G4" s="73"/>
    </row>
    <row r="5" spans="2:7" ht="30">
      <c r="B5">
        <v>2</v>
      </c>
      <c r="C5" s="74" t="s">
        <v>66</v>
      </c>
      <c r="D5" s="74" t="s">
        <v>70</v>
      </c>
      <c r="E5" s="74">
        <v>20</v>
      </c>
    </row>
    <row r="6" spans="2:7">
      <c r="B6">
        <v>3</v>
      </c>
      <c r="C6" s="74" t="s">
        <v>67</v>
      </c>
      <c r="D6" s="74" t="s">
        <v>71</v>
      </c>
      <c r="E6" s="74">
        <v>5</v>
      </c>
    </row>
    <row r="7" spans="2:7">
      <c r="B7">
        <v>4</v>
      </c>
      <c r="C7" s="74" t="s">
        <v>68</v>
      </c>
      <c r="D7" s="74"/>
      <c r="E7" s="74">
        <v>2</v>
      </c>
    </row>
    <row r="8" spans="2:7">
      <c r="C8" s="74"/>
      <c r="D8" s="74"/>
      <c r="E8" s="74"/>
    </row>
    <row r="9" spans="2:7">
      <c r="C9" s="74"/>
      <c r="D9" s="74"/>
      <c r="E9" s="74"/>
    </row>
    <row r="10" spans="2:7">
      <c r="C10" s="74"/>
      <c r="D10" s="74"/>
      <c r="E10" s="74"/>
    </row>
    <row r="11" spans="2:7">
      <c r="C11" s="74"/>
      <c r="D11" s="74"/>
      <c r="E11" s="74"/>
    </row>
    <row r="12" spans="2:7">
      <c r="C12" s="74"/>
      <c r="D12" s="74"/>
      <c r="E12" s="74"/>
    </row>
    <row r="13" spans="2:7">
      <c r="C13" s="74"/>
      <c r="D13" s="74"/>
      <c r="E13" s="74"/>
    </row>
    <row r="14" spans="2:7">
      <c r="C14" s="74"/>
      <c r="D14" s="74"/>
      <c r="E14" s="74"/>
    </row>
    <row r="15" spans="2:7">
      <c r="C15" s="74"/>
      <c r="D15" s="74"/>
      <c r="E15" s="74"/>
    </row>
    <row r="16" spans="2:7">
      <c r="C16" s="74"/>
      <c r="D16" s="74"/>
      <c r="E16" s="74"/>
    </row>
    <row r="17" spans="3:5">
      <c r="C17" s="74"/>
      <c r="D17" s="74"/>
      <c r="E17" s="7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Colored Customer Journey Map</vt:lpstr>
      <vt:lpstr>PUX Trim Tab Restaurant Example</vt:lpstr>
      <vt:lpstr>PUX Trim Tab Example B</vt:lpstr>
      <vt:lpstr>Customers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2021-02-05T04:27:43Z</dcterms:modified>
</cp:coreProperties>
</file>