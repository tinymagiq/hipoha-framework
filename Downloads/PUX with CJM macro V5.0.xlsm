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DC771656-870C-4ED2-B3FA-6336F341BF6D}" xr6:coauthVersionLast="45" xr6:coauthVersionMax="45" xr10:uidLastSave="{00000000-0000-0000-0000-000000000000}"/>
  <bookViews>
    <workbookView xWindow="-23148" yWindow="-108" windowWidth="23256" windowHeight="12576" xr2:uid="{B3A634E3-7B0D-49A1-AC45-20D6757FFE73}"/>
  </bookViews>
  <sheets>
    <sheet name="PUX Trim Ta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<sst xmlns="http://schemas.openxmlformats.org/spreadsheetml/2006/main" count="39" uniqueCount="39">
  <si>
    <t>Comments</t>
  </si>
  <si>
    <t>Steps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</si>
  <si>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</si>
  <si>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</si>
  <si>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</si>
  <si>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</si>
  <si>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</si>
  <si>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</si>
  <si>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</si>
  <si>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</si>
  <si>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</si>
  <si>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</si>
  <si>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</si>
  <si>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</si>
  <si>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</si>
  <si>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</si>
  <si>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</si>
  <si>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</si>
  <si>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</si>
  <si>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</si>
  <si>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12.1.1</t>
  </si>
  <si>
    <t>12.1.2</t>
  </si>
  <si>
    <t>12.2.1</t>
  </si>
  <si>
    <t>12.2.2</t>
  </si>
  <si>
    <t>Application Maintenance</t>
  </si>
  <si>
    <t>Senior  Developer / Architect</t>
  </si>
  <si>
    <t>Fixing Bugs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</si>
  <si>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</si>
  <si>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</si>
  <si>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</si>
  <si>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</si>
  <si>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</si>
  <si>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</si>
  <si>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</si>
  <si>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</si>
  <si>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Develop solution</t>
  </si>
  <si>
    <t>Test it</t>
  </si>
  <si>
    <t>Move to prod</t>
  </si>
  <si>
    <t>Document the solution on 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</si>
</sst>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7" fillId="0" borderId="0" xfId="0" applyFont="1" applyAlignment="1" applyProtection="1">
      <alignment wrapText="1"/>
      <protection locked="0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2" dataDxfId="10" headerRowBorderDxfId="11">
  <tableColumns count="2">
    <tableColumn id="1" xr3:uid="{A1834E27-94EC-4053-8656-C0CB318E128C}" name="Step Number" dataDxfId="9"/>
    <tableColumn id="2" xr3:uid="{D6C2D0AD-C2F2-4490-B0EB-51ECE27D70FE}" name="Steps" dataDxfId="8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7" dataDxfId="5" headerRowBorderDxfId="6">
  <tableColumns count="5">
    <tableColumn id="2" xr3:uid="{4DCD6222-9668-4BE9-B0E8-A614070CB77C}" name="Negative Emotion" dataDxfId="4"/>
    <tableColumn id="3" xr3:uid="{DFC55628-5C2D-426C-9D40-7F02EDA38FB4}" name="High TAT" dataDxfId="3"/>
    <tableColumn id="4" xr3:uid="{3F4F6365-C778-4018-A452-6FAD76496835}" name="Opposes Intention" dataDxfId="2"/>
    <tableColumn id="5" xr3:uid="{41C8534F-B9D3-4A09-ACE1-1BDD1A45149B}" name="Trim Tab" dataDxfId="1">
      <calculatedColumnFormula>AVERAGE(Table2[[#This Row],[Negative Emotion]:[Opposes Intention]])</calculatedColumnFormula>
    </tableColumn>
    <tableColumn id="6" xr3:uid="{BE700835-D18A-4DE3-A809-981BE1CE6788}" name="Comment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topLeftCell="A9" zoomScale="70" zoomScaleNormal="70" workbookViewId="0">
      <selection activeCell="G44" sqref="G44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6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7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18</v>
      </c>
      <c r="D5" s="42" t="s">
        <v>24</v>
      </c>
      <c r="E5" s="43"/>
      <c r="F5" s="43"/>
      <c r="G5" s="43"/>
      <c r="H5" s="43"/>
      <c r="I5" s="43"/>
      <c r="J5" s="44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17</v>
      </c>
      <c r="D6" s="45" t="s">
        <v>26</v>
      </c>
      <c r="E6" s="46"/>
      <c r="F6" s="46"/>
      <c r="G6" s="46"/>
      <c r="H6" s="46"/>
      <c r="I6" s="46"/>
      <c r="J6" s="47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8</v>
      </c>
      <c r="D7" s="45" t="s">
        <v>25</v>
      </c>
      <c r="E7" s="46"/>
      <c r="F7" s="46"/>
      <c r="G7" s="46"/>
      <c r="H7" s="46"/>
      <c r="I7" s="46"/>
      <c r="J7" s="47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9</v>
      </c>
      <c r="D8" s="48"/>
      <c r="E8" s="49"/>
      <c r="F8" s="49"/>
      <c r="G8" s="49"/>
      <c r="H8" s="49"/>
      <c r="I8" s="49"/>
      <c r="J8" s="50"/>
      <c r="K8" s="15"/>
      <c r="L8" s="15"/>
      <c r="M8" s="21"/>
      <c r="N8" s="21"/>
      <c r="O8" s="21"/>
      <c r="P8" s="21"/>
      <c r="Q8" s="21"/>
      <c r="R8" s="21"/>
      <c r="S8" s="21"/>
    </row>
    <row r="9" spans="1:19" ht="32.25" thickBot="1">
      <c r="A9" s="21"/>
      <c r="B9" s="7"/>
      <c r="C9" s="37" t="s">
        <v>10</v>
      </c>
      <c r="D9" s="48" t="s">
        <v>11</v>
      </c>
      <c r="E9" s="49"/>
      <c r="F9" s="49"/>
      <c r="G9" s="49"/>
      <c r="H9" s="49"/>
      <c r="I9" s="49"/>
      <c r="J9" s="50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39" t="s">
        <v>19</v>
      </c>
      <c r="D11" s="27">
        <v>3</v>
      </c>
      <c r="E11" s="28" t="s">
        <v>13</v>
      </c>
      <c r="F11" s="29"/>
      <c r="I11" s="15"/>
      <c r="J11" s="15"/>
    </row>
    <row r="12" spans="1:19" s="21" customFormat="1">
      <c r="C12" s="40"/>
      <c r="D12" s="30">
        <v>2</v>
      </c>
      <c r="E12" s="26" t="s">
        <v>14</v>
      </c>
      <c r="F12" s="31"/>
      <c r="I12" s="15"/>
      <c r="J12" s="15"/>
    </row>
    <row r="13" spans="1:19" s="21" customFormat="1">
      <c r="C13" s="40"/>
      <c r="D13" s="30">
        <v>1</v>
      </c>
      <c r="E13" s="26" t="s">
        <v>15</v>
      </c>
      <c r="F13" s="31"/>
      <c r="I13" s="15"/>
      <c r="J13" s="15"/>
    </row>
    <row r="14" spans="1:19" s="21" customFormat="1" ht="15" customHeight="1" thickBot="1">
      <c r="B14" s="7"/>
      <c r="C14" s="41"/>
      <c r="D14" s="32">
        <v>0</v>
      </c>
      <c r="E14" s="33" t="s">
        <v>16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2</v>
      </c>
      <c r="C16" s="20" t="s">
        <v>1</v>
      </c>
      <c r="D16" s="20" t="s">
        <v>3</v>
      </c>
      <c r="E16" s="20" t="s">
        <v>4</v>
      </c>
      <c r="F16" s="20" t="s">
        <v>5</v>
      </c>
      <c r="G16" s="20" t="s">
        <v>12</v>
      </c>
      <c r="H16" s="20" t="s">
        <v>0</v>
      </c>
      <c r="I16" s="10"/>
      <c r="J16" s="10"/>
    </row>
    <row r="17" spans="2:19" ht="15.75">
      <c r="B17" s="11">
        <v>1</v>
      </c>
      <c r="C17" s="12" t="s">
        <v>27</v>
      </c>
      <c r="D17" s="5">
        <v>0</v>
      </c>
      <c r="E17" s="5">
        <v>0</v>
      </c>
      <c r="F17" s="5">
        <v>0</v>
      </c>
      <c r="G17" s="15">
        <f>AVERAGE(Table2[[#This Row],[Negative Emotion]:[Opposes Intention]])</f>
        <v>0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75">
      <c r="B18" s="11">
        <v>2</v>
      </c>
      <c r="C18" s="12" t="s">
        <v>28</v>
      </c>
      <c r="D18" s="5">
        <v>3</v>
      </c>
      <c r="E18" s="5">
        <v>3</v>
      </c>
      <c r="F18" s="5">
        <v>3</v>
      </c>
      <c r="G18" s="15">
        <f>AVERAGE(Table2[[#This Row],[Negative Emotion]:[Opposes Intention]])</f>
        <v>3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29</v>
      </c>
      <c r="D19" s="5">
        <v>1</v>
      </c>
      <c r="E19" s="5">
        <v>2</v>
      </c>
      <c r="F19" s="5">
        <v>1</v>
      </c>
      <c r="G19" s="15">
        <f>AVERAGE(Table2[[#This Row],[Negative Emotion]:[Opposes Intention]])</f>
        <v>1.3333333333333333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5.75">
      <c r="B20" s="11">
        <v>4</v>
      </c>
      <c r="C20" s="38" t="s">
        <v>30</v>
      </c>
      <c r="D20" s="5">
        <v>0</v>
      </c>
      <c r="E20" s="5">
        <v>0</v>
      </c>
      <c r="F20" s="5">
        <v>0</v>
      </c>
      <c r="G20" s="15">
        <f>AVERAGE(Table2[[#This Row],[Negative Emotion]:[Opposes Intention]])</f>
        <v>0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31</v>
      </c>
      <c r="D21" s="5">
        <v>3</v>
      </c>
      <c r="E21" s="5">
        <v>3</v>
      </c>
      <c r="F21" s="5">
        <v>3</v>
      </c>
      <c r="G21" s="15">
        <f>AVERAGE(Table2[[#This Row],[Negative Emotion]:[Opposes Intention]])</f>
        <v>3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12" t="s">
        <v>32</v>
      </c>
      <c r="D22" s="5">
        <v>2</v>
      </c>
      <c r="E22" s="5">
        <v>2</v>
      </c>
      <c r="F22" s="5">
        <v>2</v>
      </c>
      <c r="G22" s="15">
        <f>AVERAGE(Table2[[#This Row],[Negative Emotion]:[Opposes Intention]])</f>
        <v>2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 t="s">
        <v>33</v>
      </c>
      <c r="D23" s="5">
        <v>1</v>
      </c>
      <c r="E23" s="5">
        <v>1</v>
      </c>
      <c r="F23" s="5">
        <v>1</v>
      </c>
      <c r="G23" s="15">
        <f>AVERAGE(Table2[[#This Row],[Negative Emotion]:[Opposes Intention]])</f>
        <v>1</v>
      </c>
      <c r="H23" s="6"/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 t="s">
        <v>34</v>
      </c>
      <c r="D24" s="5">
        <v>0</v>
      </c>
      <c r="E24" s="5">
        <v>0</v>
      </c>
      <c r="F24" s="5">
        <v>0</v>
      </c>
      <c r="G24" s="15">
        <f>AVERAGE(Table2[[#This Row],[Negative Emotion]:[Opposes Intention]])</f>
        <v>0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>
      <c r="B25" s="11">
        <v>9</v>
      </c>
      <c r="C25" s="4" t="s">
        <v>38</v>
      </c>
      <c r="D25" s="5">
        <v>1</v>
      </c>
      <c r="E25" s="5">
        <v>1</v>
      </c>
      <c r="F25" s="5">
        <v>1</v>
      </c>
      <c r="G25" s="15">
        <f>AVERAGE(Table2[[#This Row],[Negative Emotion]:[Opposes Intention]])</f>
        <v>1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>
        <v>10</v>
      </c>
      <c r="C26" s="12" t="s">
        <v>35</v>
      </c>
      <c r="D26" s="5">
        <v>0</v>
      </c>
      <c r="E26" s="5">
        <v>3</v>
      </c>
      <c r="F26" s="5">
        <v>3</v>
      </c>
      <c r="G26" s="15">
        <f>AVERAGE(Table2[[#This Row],[Negative Emotion]:[Opposes Intention]])</f>
        <v>2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>
        <v>11</v>
      </c>
      <c r="C27" s="12" t="s">
        <v>36</v>
      </c>
      <c r="D27" s="5">
        <v>3</v>
      </c>
      <c r="E27" s="5">
        <v>2</v>
      </c>
      <c r="F27" s="5">
        <v>3</v>
      </c>
      <c r="G27" s="15">
        <f>AVERAGE(Table2[[#This Row],[Negative Emotion]:[Opposes Intention]])</f>
        <v>2.6666666666666665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 t="s">
        <v>20</v>
      </c>
      <c r="C28" s="12" t="s">
        <v>37</v>
      </c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>
      <c r="B29" s="11" t="s">
        <v>21</v>
      </c>
      <c r="C29" s="4"/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>
        <v>14</v>
      </c>
      <c r="C30" s="12"/>
      <c r="D30" s="5">
        <v>0</v>
      </c>
      <c r="E30" s="5">
        <v>0</v>
      </c>
      <c r="F30" s="5">
        <v>0</v>
      </c>
      <c r="G30" s="15">
        <f>AVERAGE(Table2[[#This Row],[Negative Emotion]:[Opposes Intention]])</f>
        <v>0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>
        <v>15</v>
      </c>
      <c r="C31" s="12"/>
      <c r="D31" s="5">
        <v>0</v>
      </c>
      <c r="E31" s="5">
        <v>0</v>
      </c>
      <c r="F31" s="5">
        <v>0</v>
      </c>
      <c r="G31" s="15">
        <f>AVERAGE(Table2[[#This Row],[Negative Emotion]:[Opposes Intention]])</f>
        <v>0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>
        <v>16</v>
      </c>
      <c r="C32" s="12"/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 t="s">
        <v>22</v>
      </c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 t="s">
        <v>23</v>
      </c>
      <c r="C34" s="25"/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/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O/HYGNG9jxb+9Km1rgpneCEdl1RiWpOwCc5npNMw7UlhZillglDlQkFeDrSHUuozN9+J21w/O5wgYAs4SUI1Sg==" saltValue="ZiCJVpBvChmKsnp2Dnh91g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9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D17:G17 D38:G58 G18:G19 G21:G37 D18:F37</xm:sqref>
        </x14:conditionalFormatting>
        <x14:conditionalFormatting xmlns:xm="http://schemas.microsoft.com/office/excel/2006/main">
          <x14:cfRule type="iconSet" priority="2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45BFD5DE-A5CD-485F-A1C7-9386FE17E1E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G20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PUX Trim 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2021-01-13T07:24:35Z</dcterms:modified>
</cp:coreProperties>
</file>