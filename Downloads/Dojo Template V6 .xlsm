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716" codeName="{00000000-0000-0000-0000-000000000000}"/>
  <workbookPr codeName="ThisWorkbook" defaultThemeVersion="166925"/>
  <mc:AlternateContent xmlns:mc="http://schemas.openxmlformats.org/markup-compatibility/2006">
    <mc:Choice Requires="x15">
      <x15ac:absPath xmlns:x15ac="http://schemas.microsoft.com/office/spreadsheetml/2010/11/ac" url="\\usil-vifs1\PersonalFolders\JA720929\"/>
    </mc:Choice>
  </mc:AlternateContent>
  <xr:revisionPtr revIDLastSave="15" documentId="13_ncr:1_{E5EA770A-247C-475D-B425-85DA681D9206}" xr6:coauthVersionLast="46" xr6:coauthVersionMax="46" xr10:uidLastSave="{73614E7E-60F6-4626-A181-2306A18A70E2}"/>
  <bookViews>
    <workbookView xWindow="-120" yWindow="-120" windowWidth="51840" windowHeight="21240" firstSheet="3" activeTab="3" xr2:uid="{00000000-000D-0000-FFFF-FFFF00000000}"/>
  </bookViews>
  <sheets>
    <sheet name="DOJO Docket " sheetId="3" r:id="rId1"/>
    <sheet name="Roles- Members " sheetId="5" r:id="rId2"/>
    <sheet name="PUX Trim Tab" sheetId="1" r:id="rId3"/>
    <sheet name="Robotic steps" sheetId="2" r:id="rId4"/>
  </sheets>
  <calcPr calcId="191028"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0" i="2" l="1"/>
  <c r="J9" i="2"/>
  <c r="J8" i="2"/>
  <c r="G12" i="2" l="1"/>
  <c r="G16" i="2" s="1"/>
  <c r="G25" i="1"/>
  <c r="G18" i="1"/>
  <c r="G19" i="1"/>
  <c r="G20" i="1"/>
  <c r="G21" i="1"/>
  <c r="G22" i="1"/>
  <c r="G23" i="1"/>
  <c r="G24"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1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Sukumar Rajagopal</author>
  </authors>
  <commentList>
    <comment ref="D16" authorId="0" shapeId="0" xr:uid="{00000000-0006-0000-0200-000001000000}">
      <text>
        <r>
          <rPr>
            <b/>
            <sz val="10"/>
            <color rgb="FF000000"/>
            <rFont val="Tahoma"/>
            <family val="2"/>
          </rPr>
          <t>Sukumar Rajagopal:</t>
        </r>
        <r>
          <rPr>
            <sz val="10"/>
            <color rgb="FF000000"/>
            <rFont val="Tahoma"/>
            <family val="2"/>
          </rPr>
          <t xml:space="preserve">
</t>
        </r>
        <r>
          <rPr>
            <sz val="10"/>
            <color rgb="FF000000"/>
            <rFont val="Calibri"/>
            <family val="2"/>
          </rPr>
          <t xml:space="preserve">Rating Scale 1. Green (0) 0-5%  
</t>
        </r>
        <r>
          <rPr>
            <sz val="10"/>
            <color rgb="FF000000"/>
            <rFont val="Calibri"/>
            <family val="2"/>
          </rPr>
          <t xml:space="preserve">2. Grey (1) - 5-50% 
</t>
        </r>
        <r>
          <rPr>
            <sz val="10"/>
            <color rgb="FF000000"/>
            <rFont val="Calibri"/>
            <family val="2"/>
          </rPr>
          <t xml:space="preserve">3. Yellow (2) - 50-80%  
</t>
        </r>
        <r>
          <rPr>
            <sz val="10"/>
            <color rgb="FF000000"/>
            <rFont val="Calibri"/>
            <family val="2"/>
          </rPr>
          <t xml:space="preserve">4. Red (3) - 80-100%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tc={D2DCBBCE-D886-4191-B0A8-E7E743D5F3CF}</author>
    <author>tc={84816CBF-B304-421B-B937-79E2B5B1DD15}</author>
    <author>tc={E38DE416-D01E-4297-BD7D-A1092B0E9990}</author>
    <author>tc={F853D649-736A-4059-BB0F-3A5A2B7427E7}</author>
    <author>tc={95040FD4-F289-4982-A29E-A24FED8E7C93}</author>
  </authors>
  <commentList>
    <comment ref="F7" authorId="0" shapeId="0" xr:uid="{D2DCBBCE-D886-4191-B0A8-E7E743D5F3CF}">
      <text>
        <t>[Threaded comment]
Your version of Excel allows you to read this threaded comment; however, any edits to it will get removed if the file is opened in a newer version of Excel. Learn more: https://go.microsoft.com/fwlink/?linkid=870924
Comment:
    The time it took to do this process manually</t>
      </text>
    </comment>
    <comment ref="F8" authorId="1" shapeId="0" xr:uid="{84816CBF-B304-421B-B937-79E2B5B1DD15}">
      <text>
        <t>[Threaded comment]
Your version of Excel allows you to read this threaded comment; however, any edits to it will get removed if the file is opened in a newer version of Excel. Learn more: https://go.microsoft.com/fwlink/?linkid=870924
Comment:
    The time it will take for the automation to do this task</t>
      </text>
    </comment>
    <comment ref="F9" authorId="2" shapeId="0" xr:uid="{E38DE416-D01E-4297-BD7D-A1092B0E9990}">
      <text>
        <t>[Threaded comment]
Your version of Excel allows you to read this threaded comment; however, any edits to it will get removed if the file is opened in a newer version of Excel. Learn more: https://go.microsoft.com/fwlink/?linkid=870924
Comment:
    How many times each employee that will use this automation will use it</t>
      </text>
    </comment>
    <comment ref="F10" authorId="3" shapeId="0" xr:uid="{F853D649-736A-4059-BB0F-3A5A2B7427E7}">
      <text>
        <t>[Threaded comment]
Your version of Excel allows you to read this threaded comment; however, any edits to it will get removed if the file is opened in a newer version of Excel. Learn more: https://go.microsoft.com/fwlink/?linkid=870924
Comment:
    How many employees will be using this automation</t>
      </text>
    </comment>
    <comment ref="F11" authorId="4" shapeId="0" xr:uid="{95040FD4-F289-4982-A29E-A24FED8E7C93}">
      <text>
        <t>[Threaded comment]
Your version of Excel allows you to read this threaded comment; however, any edits to it will get removed if the file is opened in a newer version of Excel. Learn more: https://go.microsoft.com/fwlink/?linkid=870924
Comment:
    The average salary of the employees using this automation</t>
      </text>
    </comment>
  </commentList>
</comments>
</file>

<file path=xl/sharedStrings.xml><?xml version="1.0" encoding="utf-8"?>
<sst xmlns="http://schemas.openxmlformats.org/spreadsheetml/2006/main" count="56" uniqueCount="54">
  <si>
    <t>NAME OF THE ORGANISATION:</t>
  </si>
  <si>
    <t>TinyMagiq</t>
  </si>
  <si>
    <t xml:space="preserve">GROUP  TITLE </t>
  </si>
  <si>
    <t>Mentors Group</t>
  </si>
  <si>
    <t xml:space="preserve">POD </t>
  </si>
  <si>
    <t>Mentor</t>
  </si>
  <si>
    <t>S No</t>
  </si>
  <si>
    <t xml:space="preserve">Role </t>
  </si>
  <si>
    <t>Name of Team  Member</t>
  </si>
  <si>
    <t>Count</t>
  </si>
  <si>
    <t>Director</t>
  </si>
  <si>
    <t>Managers</t>
  </si>
  <si>
    <t>Supervisors</t>
  </si>
  <si>
    <t>QA</t>
  </si>
  <si>
    <t>?</t>
  </si>
  <si>
    <t>SMEs</t>
  </si>
  <si>
    <t>Claims Examiners</t>
  </si>
  <si>
    <t>Performance Undersupply Xray (PUX)</t>
  </si>
  <si>
    <t>Customer Journey Map  - PUX Guidelines</t>
  </si>
  <si>
    <t xml:space="preserve">1. Identity a Functional Area/ Scenario preferably in your scope of responsibility </t>
  </si>
  <si>
    <t>2.Title Of Journey</t>
  </si>
  <si>
    <t>3. Identify the Stakeholder/Customer [Role]</t>
  </si>
  <si>
    <t>3. Identify the Stakeholder/Customer Intention (Pick 2 from the List of Intentions below)</t>
  </si>
  <si>
    <t>Fast (Agile) , Easy (Convenient), Frugal (Economic),  Secure(Safe)</t>
  </si>
  <si>
    <r>
      <t xml:space="preserve">PUX Rating - </t>
    </r>
    <r>
      <rPr>
        <sz val="16"/>
        <color rgb="FF660033"/>
        <rFont val="Calibri"/>
        <family val="2"/>
        <scheme val="minor"/>
      </rPr>
      <t xml:space="preserve"> Please enter (0/1/2/3)  as your rating for Each Step and in the 3 columns</t>
    </r>
  </si>
  <si>
    <t>3 - Worst  Impact</t>
  </si>
  <si>
    <t>2 - Worse Impact</t>
  </si>
  <si>
    <t>1 - Bad Impact</t>
  </si>
  <si>
    <t>0 - No Impact</t>
  </si>
  <si>
    <t>Step Number</t>
  </si>
  <si>
    <t>Steps</t>
  </si>
  <si>
    <t>Negative Emotion</t>
  </si>
  <si>
    <t>High TAT</t>
  </si>
  <si>
    <t>Opposes Intention</t>
  </si>
  <si>
    <t>Trim Tab</t>
  </si>
  <si>
    <t>Comments</t>
  </si>
  <si>
    <t/>
  </si>
  <si>
    <t>'</t>
  </si>
  <si>
    <t>Business Value calculator of A change ( Process/Technology )</t>
  </si>
  <si>
    <t>Role</t>
  </si>
  <si>
    <t>Trim Tab Step</t>
  </si>
  <si>
    <t>Showing the value of a change really hard. 
This is one of reasons it is hard to get support from business team on idea from the technical team. 
This tool is supposed to ease that process. See the comments for descriptions</t>
  </si>
  <si>
    <t xml:space="preserve">ROBOTIC STEPS for Customer Journey step 4 - Trim tab step </t>
  </si>
  <si>
    <t>Enter the Green Cell only</t>
  </si>
  <si>
    <t>Time before automation</t>
  </si>
  <si>
    <t>Time after automation</t>
  </si>
  <si>
    <t>Mins Saved per Run</t>
  </si>
  <si>
    <t>Avg Occurences / day per Emp</t>
  </si>
  <si>
    <t># of Runs per Week</t>
  </si>
  <si>
    <t># Employees using automation</t>
  </si>
  <si>
    <t>#runs per week for all employees</t>
  </si>
  <si>
    <t>Rough Cost ( in $$) / Hr</t>
  </si>
  <si>
    <t>Total Time Saved in a Year ( Hrs )</t>
  </si>
  <si>
    <t>Money Saved per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</si>
</sst>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quot;#,##0_);\(&quot;$&quot;#,##0\)"/>
    <numFmt numFmtId="164" formatCode="_ * #,##0.00_ ;_ * \-#,##0.00_ ;_ * &quot;-&quot;??_ ;_ @_ "/>
    <numFmt numFmtId="165" formatCode="&quot;$&quot;#,##0"/>
  </numFmts>
  <fonts count="33">
    <font>
      <sz val="11"/>
      <color theme="1"/>
      <name val="Calibri"/>
      <family val="2"/>
      <scheme val="minor"/>
    </font>
    <font>
      <sz val="11"/>
      <color rgb="FFCC0099"/>
      <name val="Calibri"/>
      <family val="2"/>
      <scheme val="minor"/>
    </font>
    <font>
      <b/>
      <sz val="11"/>
      <color rgb="FFCC0099"/>
      <name val="Calibri"/>
      <family val="2"/>
      <scheme val="minor"/>
    </font>
    <font>
      <b/>
      <sz val="20"/>
      <color rgb="FF660033"/>
      <name val="Calibri"/>
      <family val="2"/>
      <scheme val="minor"/>
    </font>
    <font>
      <sz val="11"/>
      <color rgb="FF002060"/>
      <name val="Calibri"/>
      <family val="2"/>
      <scheme val="minor"/>
    </font>
    <font>
      <b/>
      <sz val="12"/>
      <color rgb="FFCC0099"/>
      <name val="Calibri"/>
      <family val="2"/>
      <scheme val="minor"/>
    </font>
    <font>
      <sz val="12"/>
      <color rgb="FFCC0099"/>
      <name val="Calibri"/>
      <family val="2"/>
      <scheme val="minor"/>
    </font>
    <font>
      <sz val="12"/>
      <color theme="1"/>
      <name val=".AppleSystemUIFont"/>
    </font>
    <font>
      <b/>
      <sz val="9"/>
      <color theme="0"/>
      <name val="Georgia"/>
      <family val="1"/>
    </font>
    <font>
      <sz val="12"/>
      <color rgb="FF660033"/>
      <name val="Calibri"/>
      <family val="2"/>
      <scheme val="minor"/>
    </font>
    <font>
      <b/>
      <sz val="16"/>
      <color rgb="FF660033"/>
      <name val="Calibri"/>
      <family val="2"/>
      <scheme val="minor"/>
    </font>
    <font>
      <sz val="16"/>
      <color rgb="FF660033"/>
      <name val="Calibri"/>
      <family val="2"/>
      <scheme val="minor"/>
    </font>
    <font>
      <sz val="10"/>
      <color rgb="FF000000"/>
      <name val="Tahoma"/>
      <family val="2"/>
    </font>
    <font>
      <b/>
      <sz val="10"/>
      <color rgb="FF000000"/>
      <name val="Tahoma"/>
      <family val="2"/>
    </font>
    <font>
      <sz val="10"/>
      <color rgb="FF000000"/>
      <name val="Calibri"/>
      <family val="2"/>
    </font>
    <font>
      <b/>
      <sz val="11"/>
      <color theme="1"/>
      <name val="Calibri"/>
      <family val="2"/>
      <scheme val="minor"/>
    </font>
    <font>
      <b/>
      <sz val="16"/>
      <color rgb="FF7030A0"/>
      <name val="Calibri"/>
      <family val="2"/>
      <scheme val="minor"/>
    </font>
    <font>
      <b/>
      <sz val="18"/>
      <color rgb="FF7030A0"/>
      <name val="Calibri"/>
      <family val="2"/>
      <scheme val="minor"/>
    </font>
    <font>
      <sz val="12"/>
      <color theme="1"/>
      <name val="Calibri"/>
      <family val="2"/>
      <scheme val="minor"/>
    </font>
    <font>
      <b/>
      <sz val="12"/>
      <color theme="1"/>
      <name val="Calibri"/>
      <family val="2"/>
      <scheme val="minor"/>
    </font>
    <font>
      <b/>
      <sz val="16"/>
      <color theme="1"/>
      <name val="Calibri"/>
      <family val="2"/>
      <scheme val="minor"/>
    </font>
    <font>
      <b/>
      <u/>
      <sz val="20"/>
      <color rgb="FFCC0099"/>
      <name val="Calibri"/>
      <family val="2"/>
      <scheme val="minor"/>
    </font>
    <font>
      <b/>
      <u/>
      <sz val="20"/>
      <color rgb="FF660033"/>
      <name val="Calibri"/>
      <family val="2"/>
      <scheme val="minor"/>
    </font>
    <font>
      <b/>
      <u/>
      <sz val="18"/>
      <color rgb="FF660033"/>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b/>
      <sz val="11"/>
      <color theme="0"/>
      <name val="Calibri"/>
      <family val="2"/>
      <scheme val="minor"/>
    </font>
    <font>
      <sz val="11"/>
      <color theme="0"/>
      <name val="Calibri"/>
      <family val="2"/>
      <scheme val="minor"/>
    </font>
    <font>
      <i/>
      <sz val="10"/>
      <color rgb="FF002060"/>
      <name val="Calibri"/>
      <family val="2"/>
      <scheme val="minor"/>
    </font>
    <font>
      <i/>
      <sz val="10"/>
      <color theme="1"/>
      <name val="Calibri"/>
      <family val="2"/>
      <scheme val="minor"/>
    </font>
    <font>
      <b/>
      <sz val="11"/>
      <color rgb="FF006100"/>
      <name val="Calibri"/>
      <family val="2"/>
      <scheme val="minor"/>
    </font>
    <font>
      <b/>
      <sz val="11"/>
      <color rgb="FF9C0006"/>
      <name val="Calibri"/>
      <family val="2"/>
      <scheme val="minor"/>
    </font>
  </fonts>
  <fills count="11">
    <fill>
      <patternFill patternType="none"/>
    </fill>
    <fill>
      <patternFill patternType="gray125"/>
    </fill>
    <fill>
      <patternFill patternType="solid">
        <fgColor rgb="FFFF99FF"/>
        <bgColor indexed="64"/>
      </patternFill>
    </fill>
    <fill>
      <patternFill patternType="solid">
        <fgColor rgb="FF660033"/>
        <bgColor indexed="64"/>
      </patternFill>
    </fill>
    <fill>
      <patternFill patternType="solid">
        <fgColor rgb="FFFFDDFF"/>
        <bgColor indexed="64"/>
      </patternFill>
    </fill>
    <fill>
      <patternFill patternType="solid">
        <fgColor theme="5" tint="0.79998168889431442"/>
        <bgColor theme="5" tint="0.79998168889431442"/>
      </patternFill>
    </fill>
    <fill>
      <patternFill patternType="solid">
        <fgColor rgb="FFC6EFCE"/>
      </patternFill>
    </fill>
    <fill>
      <patternFill patternType="solid">
        <fgColor rgb="FFFFC7CE"/>
      </patternFill>
    </fill>
    <fill>
      <patternFill patternType="solid">
        <fgColor theme="4"/>
      </patternFill>
    </fill>
    <fill>
      <patternFill patternType="solid">
        <fgColor theme="9"/>
      </patternFill>
    </fill>
    <fill>
      <patternFill patternType="solid">
        <fgColor theme="8" tint="0.59999389629810485"/>
        <bgColor indexed="64"/>
      </patternFill>
    </fill>
  </fills>
  <borders count="35">
    <border>
      <left/>
      <right/>
      <top/>
      <bottom/>
      <diagonal/>
    </border>
    <border>
      <left style="medium">
        <color rgb="FF660033"/>
      </left>
      <right style="medium">
        <color rgb="FF660033"/>
      </right>
      <top style="medium">
        <color rgb="FF660033"/>
      </top>
      <bottom style="medium">
        <color rgb="FF660033"/>
      </bottom>
      <diagonal/>
    </border>
    <border>
      <left/>
      <right style="medium">
        <color rgb="FF660033"/>
      </right>
      <top style="medium">
        <color rgb="FF660033"/>
      </top>
      <bottom style="medium">
        <color rgb="FF660033"/>
      </bottom>
      <diagonal/>
    </border>
    <border>
      <left style="medium">
        <color rgb="FF660033"/>
      </left>
      <right/>
      <top style="medium">
        <color rgb="FF660033"/>
      </top>
      <bottom/>
      <diagonal/>
    </border>
    <border>
      <left style="medium">
        <color rgb="FF660033"/>
      </left>
      <right/>
      <top/>
      <bottom/>
      <diagonal/>
    </border>
    <border>
      <left style="medium">
        <color rgb="FF660033"/>
      </left>
      <right/>
      <top/>
      <bottom style="medium">
        <color rgb="FF660033"/>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660033"/>
      </left>
      <right/>
      <top style="medium">
        <color rgb="FF660033"/>
      </top>
      <bottom style="thin">
        <color rgb="FF660033"/>
      </bottom>
      <diagonal/>
    </border>
    <border>
      <left style="medium">
        <color rgb="FF660033"/>
      </left>
      <right/>
      <top style="thin">
        <color rgb="FF660033"/>
      </top>
      <bottom style="thin">
        <color rgb="FF660033"/>
      </bottom>
      <diagonal/>
    </border>
    <border>
      <left style="medium">
        <color rgb="FF660033"/>
      </left>
      <right/>
      <top style="thin">
        <color rgb="FF660033"/>
      </top>
      <bottom style="medium">
        <color rgb="FF660033"/>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6">
    <xf numFmtId="0" fontId="0" fillId="0" borderId="0"/>
    <xf numFmtId="164" fontId="24" fillId="0" borderId="0" applyFont="0" applyFill="0" applyBorder="0" applyAlignment="0" applyProtection="0"/>
    <xf numFmtId="0" fontId="25" fillId="6" borderId="0" applyNumberFormat="0" applyBorder="0" applyAlignment="0" applyProtection="0"/>
    <xf numFmtId="0" fontId="26" fillId="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cellStyleXfs>
  <cellXfs count="89">
    <xf numFmtId="0" fontId="0" fillId="0" borderId="0" xfId="0"/>
    <xf numFmtId="0" fontId="0" fillId="0" borderId="0" xfId="0" applyAlignment="1">
      <alignment wrapText="1"/>
    </xf>
    <xf numFmtId="0" fontId="1" fillId="0" borderId="0" xfId="0" applyFont="1"/>
    <xf numFmtId="0" fontId="0" fillId="0" borderId="0" xfId="0" applyProtection="1">
      <protection locked="0"/>
    </xf>
    <xf numFmtId="0" fontId="0" fillId="0" borderId="0" xfId="0" applyAlignment="1" applyProtection="1">
      <alignment wrapText="1"/>
      <protection locked="0"/>
    </xf>
    <xf numFmtId="0" fontId="1" fillId="0" borderId="0" xfId="0" applyFont="1" applyAlignment="1" applyProtection="1">
      <alignment wrapText="1"/>
      <protection locked="0"/>
    </xf>
    <xf numFmtId="0" fontId="1" fillId="0" borderId="0" xfId="0" applyFont="1" applyProtection="1">
      <protection locked="0"/>
    </xf>
    <xf numFmtId="0" fontId="2" fillId="0" borderId="0" xfId="0" applyFont="1" applyProtection="1">
      <protection locked="0"/>
    </xf>
    <xf numFmtId="0" fontId="5" fillId="0" borderId="0" xfId="0" applyFont="1" applyAlignment="1" applyProtection="1">
      <alignment wrapText="1"/>
      <protection locked="0"/>
    </xf>
    <xf numFmtId="0" fontId="6" fillId="0" borderId="0" xfId="0" applyFont="1" applyAlignment="1" applyProtection="1">
      <alignment wrapText="1"/>
      <protection locked="0"/>
    </xf>
    <xf numFmtId="0" fontId="0" fillId="0" borderId="0" xfId="0" applyAlignment="1" applyProtection="1">
      <alignment horizontal="center" vertical="top"/>
      <protection locked="0"/>
    </xf>
    <xf numFmtId="0" fontId="4" fillId="0" borderId="0" xfId="0" applyFont="1" applyProtection="1">
      <protection locked="0"/>
    </xf>
    <xf numFmtId="0" fontId="7" fillId="0" borderId="0" xfId="0" applyFont="1" applyProtection="1">
      <protection locked="0"/>
    </xf>
    <xf numFmtId="0" fontId="3" fillId="0" borderId="0" xfId="0" applyFont="1" applyProtection="1"/>
    <xf numFmtId="0" fontId="1" fillId="0" borderId="0" xfId="0" applyFont="1" applyAlignment="1" applyProtection="1">
      <alignment wrapText="1"/>
    </xf>
    <xf numFmtId="0" fontId="1" fillId="0" borderId="0" xfId="0" applyFont="1" applyProtection="1"/>
    <xf numFmtId="0" fontId="5" fillId="0" borderId="0" xfId="0" applyFont="1" applyAlignment="1" applyProtection="1">
      <alignment wrapText="1"/>
    </xf>
    <xf numFmtId="0" fontId="6" fillId="0" borderId="0" xfId="0" applyFont="1" applyAlignment="1" applyProtection="1">
      <alignment wrapText="1"/>
    </xf>
    <xf numFmtId="0" fontId="1" fillId="0" borderId="0" xfId="0" applyFont="1" applyBorder="1" applyProtection="1"/>
    <xf numFmtId="0" fontId="8" fillId="3" borderId="1" xfId="0" applyFont="1" applyFill="1" applyBorder="1" applyAlignment="1" applyProtection="1">
      <alignment horizontal="center" vertical="top" wrapText="1"/>
    </xf>
    <xf numFmtId="0" fontId="8" fillId="3" borderId="2" xfId="0" applyFont="1" applyFill="1" applyBorder="1" applyAlignment="1" applyProtection="1">
      <alignment horizontal="center" vertical="top" wrapText="1"/>
    </xf>
    <xf numFmtId="0" fontId="0" fillId="0" borderId="0" xfId="0" applyProtection="1"/>
    <xf numFmtId="0" fontId="0" fillId="0" borderId="0" xfId="0" applyAlignment="1" applyProtection="1">
      <alignment wrapText="1"/>
    </xf>
    <xf numFmtId="0" fontId="0" fillId="0" borderId="0" xfId="0" applyAlignment="1" applyProtection="1">
      <alignment horizontal="center" vertical="top"/>
    </xf>
    <xf numFmtId="0" fontId="7" fillId="0" borderId="0" xfId="0" quotePrefix="1" applyFont="1" applyProtection="1">
      <protection locked="0"/>
    </xf>
    <xf numFmtId="0" fontId="1" fillId="0" borderId="6" xfId="0" applyFont="1" applyBorder="1" applyProtection="1"/>
    <xf numFmtId="0" fontId="1" fillId="5" borderId="7" xfId="0" applyFont="1" applyFill="1" applyBorder="1" applyAlignment="1">
      <alignment horizontal="center" wrapText="1"/>
    </xf>
    <xf numFmtId="0" fontId="1" fillId="0" borderId="8" xfId="0" applyFont="1" applyBorder="1" applyProtection="1"/>
    <xf numFmtId="0" fontId="0" fillId="0" borderId="9" xfId="0" applyBorder="1" applyProtection="1"/>
    <xf numFmtId="0" fontId="1" fillId="5" borderId="10" xfId="0" applyFont="1" applyFill="1" applyBorder="1" applyAlignment="1">
      <alignment horizontal="center" wrapText="1"/>
    </xf>
    <xf numFmtId="0" fontId="0" fillId="0" borderId="11" xfId="0" applyBorder="1" applyProtection="1"/>
    <xf numFmtId="0" fontId="1" fillId="5" borderId="12" xfId="0" applyFont="1" applyFill="1" applyBorder="1" applyAlignment="1">
      <alignment horizontal="center" wrapText="1"/>
    </xf>
    <xf numFmtId="0" fontId="1" fillId="0" borderId="13" xfId="0" applyFont="1" applyBorder="1" applyProtection="1"/>
    <xf numFmtId="0" fontId="1" fillId="0" borderId="14" xfId="0" applyFont="1" applyBorder="1" applyProtection="1"/>
    <xf numFmtId="0" fontId="9" fillId="4" borderId="15" xfId="0" applyFont="1" applyFill="1" applyBorder="1" applyAlignment="1" applyProtection="1">
      <alignment wrapText="1"/>
    </xf>
    <xf numFmtId="0" fontId="9" fillId="4" borderId="16" xfId="0" applyFont="1" applyFill="1" applyBorder="1" applyAlignment="1" applyProtection="1">
      <alignment wrapText="1"/>
    </xf>
    <xf numFmtId="0" fontId="9" fillId="4" borderId="17" xfId="0" applyFont="1" applyFill="1" applyBorder="1" applyAlignment="1" applyProtection="1">
      <alignment wrapText="1"/>
    </xf>
    <xf numFmtId="0" fontId="7" fillId="0" borderId="0" xfId="0" applyFont="1" applyAlignment="1" applyProtection="1">
      <alignment wrapText="1"/>
      <protection locked="0"/>
    </xf>
    <xf numFmtId="0" fontId="15" fillId="0" borderId="0" xfId="0" applyFont="1"/>
    <xf numFmtId="0" fontId="6" fillId="0" borderId="0" xfId="0" applyFont="1" applyBorder="1" applyAlignment="1" applyProtection="1">
      <alignment horizontal="left" wrapText="1"/>
      <protection locked="0"/>
    </xf>
    <xf numFmtId="0" fontId="19" fillId="0" borderId="0" xfId="0" applyFont="1"/>
    <xf numFmtId="0" fontId="20" fillId="0" borderId="0" xfId="0" applyFont="1" applyAlignment="1">
      <alignment horizontal="center"/>
    </xf>
    <xf numFmtId="0" fontId="20" fillId="0" borderId="0" xfId="0" applyFont="1"/>
    <xf numFmtId="0" fontId="16" fillId="0" borderId="28" xfId="0" applyFont="1" applyBorder="1"/>
    <xf numFmtId="0" fontId="0" fillId="0" borderId="28" xfId="0" applyBorder="1"/>
    <xf numFmtId="0" fontId="0" fillId="0" borderId="29" xfId="0" applyBorder="1"/>
    <xf numFmtId="0" fontId="0" fillId="0" borderId="30" xfId="0" applyBorder="1"/>
    <xf numFmtId="0" fontId="0" fillId="0" borderId="0" xfId="0" applyBorder="1"/>
    <xf numFmtId="0" fontId="0" fillId="0" borderId="31" xfId="0" applyBorder="1"/>
    <xf numFmtId="0" fontId="17" fillId="0" borderId="0" xfId="0" applyFont="1" applyBorder="1"/>
    <xf numFmtId="0" fontId="16" fillId="0" borderId="0" xfId="0" applyFont="1" applyBorder="1"/>
    <xf numFmtId="0" fontId="0" fillId="0" borderId="32" xfId="0" applyBorder="1"/>
    <xf numFmtId="0" fontId="0" fillId="0" borderId="33" xfId="0" applyBorder="1"/>
    <xf numFmtId="0" fontId="0" fillId="0" borderId="34" xfId="0" applyBorder="1"/>
    <xf numFmtId="0" fontId="21" fillId="0" borderId="27" xfId="0" applyFont="1" applyBorder="1" applyAlignment="1">
      <alignment horizontal="right"/>
    </xf>
    <xf numFmtId="0" fontId="22" fillId="0" borderId="30" xfId="0" applyFont="1" applyBorder="1" applyAlignment="1">
      <alignment horizontal="right"/>
    </xf>
    <xf numFmtId="0" fontId="23" fillId="0" borderId="30" xfId="0" applyFont="1" applyBorder="1" applyAlignment="1">
      <alignment horizontal="right"/>
    </xf>
    <xf numFmtId="0" fontId="20" fillId="0" borderId="0" xfId="0" applyFont="1" applyAlignment="1">
      <alignment horizontal="center" vertical="center"/>
    </xf>
    <xf numFmtId="0" fontId="0" fillId="0" borderId="0" xfId="0" applyAlignment="1">
      <alignment horizontal="center" vertical="center"/>
    </xf>
    <xf numFmtId="0" fontId="6" fillId="0" borderId="23" xfId="0" applyFont="1" applyBorder="1" applyAlignment="1" applyProtection="1">
      <alignment wrapText="1"/>
      <protection locked="0"/>
    </xf>
    <xf numFmtId="0" fontId="30" fillId="0" borderId="0" xfId="0" applyFont="1" applyAlignment="1">
      <alignment horizontal="left" vertical="top" wrapText="1"/>
    </xf>
    <xf numFmtId="0" fontId="31" fillId="6" borderId="0" xfId="2" applyFont="1"/>
    <xf numFmtId="0" fontId="32" fillId="7" borderId="0" xfId="3" applyFont="1"/>
    <xf numFmtId="0" fontId="15" fillId="0" borderId="0" xfId="0" applyFont="1" applyAlignment="1">
      <alignment vertical="top"/>
    </xf>
    <xf numFmtId="0" fontId="0" fillId="0" borderId="0" xfId="0" applyAlignment="1">
      <alignment vertical="top"/>
    </xf>
    <xf numFmtId="0" fontId="18" fillId="0" borderId="0" xfId="0" applyFont="1" applyAlignment="1" applyProtection="1">
      <alignment horizontal="left" wrapText="1"/>
      <protection locked="0"/>
    </xf>
    <xf numFmtId="0" fontId="18" fillId="0" borderId="0" xfId="0" applyFont="1" applyAlignment="1" applyProtection="1">
      <alignment horizontal="center" vertical="center" wrapText="1"/>
      <protection locked="0"/>
    </xf>
    <xf numFmtId="0" fontId="0" fillId="0" borderId="0" xfId="0" applyAlignment="1">
      <alignment vertical="top" wrapText="1"/>
    </xf>
    <xf numFmtId="0" fontId="29" fillId="10" borderId="0" xfId="0" applyFont="1" applyFill="1" applyAlignment="1">
      <alignment horizontal="left" vertical="top" wrapText="1"/>
    </xf>
    <xf numFmtId="3" fontId="31" fillId="6" borderId="0" xfId="2" applyNumberFormat="1" applyFont="1"/>
    <xf numFmtId="3" fontId="27" fillId="9" borderId="0" xfId="5" applyNumberFormat="1" applyFont="1"/>
    <xf numFmtId="165" fontId="31" fillId="6" borderId="0" xfId="2" applyNumberFormat="1" applyFont="1"/>
    <xf numFmtId="5" fontId="32" fillId="7" borderId="0" xfId="1" applyNumberFormat="1" applyFont="1" applyFill="1"/>
    <xf numFmtId="0" fontId="6" fillId="0" borderId="24" xfId="0" applyFont="1" applyBorder="1" applyAlignment="1" applyProtection="1">
      <alignment horizontal="center" wrapText="1"/>
      <protection locked="0"/>
    </xf>
    <xf numFmtId="0" fontId="6" fillId="0" borderId="0" xfId="0" applyFont="1" applyBorder="1" applyAlignment="1" applyProtection="1">
      <alignment wrapText="1"/>
      <protection locked="0"/>
    </xf>
    <xf numFmtId="0" fontId="10" fillId="2" borderId="3" xfId="0" applyFont="1" applyFill="1" applyBorder="1" applyAlignment="1" applyProtection="1">
      <alignment horizontal="left" vertical="center" wrapText="1"/>
    </xf>
    <xf numFmtId="0" fontId="10" fillId="2" borderId="4" xfId="0" applyFont="1" applyFill="1" applyBorder="1" applyAlignment="1" applyProtection="1">
      <alignment horizontal="left" vertical="center"/>
    </xf>
    <xf numFmtId="0" fontId="10" fillId="2" borderId="5" xfId="0" applyFont="1" applyFill="1" applyBorder="1" applyAlignment="1" applyProtection="1">
      <alignment horizontal="left" vertical="center"/>
    </xf>
    <xf numFmtId="0" fontId="6" fillId="0" borderId="21" xfId="0" applyFont="1" applyBorder="1" applyAlignment="1" applyProtection="1">
      <alignment horizontal="left" wrapText="1"/>
      <protection locked="0"/>
    </xf>
    <xf numFmtId="0" fontId="6" fillId="0" borderId="22" xfId="0" applyFont="1" applyBorder="1" applyAlignment="1" applyProtection="1">
      <alignment horizontal="left" wrapText="1"/>
      <protection locked="0"/>
    </xf>
    <xf numFmtId="0" fontId="6" fillId="0" borderId="23" xfId="0" applyFont="1" applyBorder="1" applyAlignment="1" applyProtection="1">
      <alignment horizontal="left" wrapText="1"/>
      <protection locked="0"/>
    </xf>
    <xf numFmtId="0" fontId="6" fillId="0" borderId="24" xfId="0" applyFont="1" applyBorder="1" applyAlignment="1" applyProtection="1">
      <alignment horizontal="left" wrapText="1"/>
      <protection locked="0"/>
    </xf>
    <xf numFmtId="0" fontId="6" fillId="0" borderId="25" xfId="0" applyFont="1" applyBorder="1" applyAlignment="1" applyProtection="1">
      <alignment horizontal="left" wrapText="1"/>
      <protection locked="0"/>
    </xf>
    <xf numFmtId="0" fontId="6" fillId="0" borderId="26" xfId="0" applyFont="1" applyBorder="1" applyAlignment="1" applyProtection="1">
      <alignment horizontal="left" wrapText="1"/>
      <protection locked="0"/>
    </xf>
    <xf numFmtId="0" fontId="6" fillId="0" borderId="18" xfId="0" applyFont="1" applyBorder="1" applyAlignment="1" applyProtection="1">
      <alignment horizontal="left" wrapText="1"/>
      <protection locked="0"/>
    </xf>
    <xf numFmtId="0" fontId="6" fillId="0" borderId="19" xfId="0" applyFont="1" applyBorder="1" applyAlignment="1" applyProtection="1">
      <alignment horizontal="left" wrapText="1"/>
      <protection locked="0"/>
    </xf>
    <xf numFmtId="0" fontId="6" fillId="0" borderId="20" xfId="0" applyFont="1" applyBorder="1" applyAlignment="1" applyProtection="1">
      <alignment horizontal="left" wrapText="1"/>
      <protection locked="0"/>
    </xf>
    <xf numFmtId="0" fontId="27" fillId="8" borderId="0" xfId="4" applyFont="1" applyAlignment="1">
      <alignment horizontal="center"/>
    </xf>
    <xf numFmtId="0" fontId="29" fillId="10" borderId="0" xfId="0" applyFont="1" applyFill="1" applyAlignment="1">
      <alignment horizontal="center" vertical="top" wrapText="1"/>
    </xf>
  </cellXfs>
  <cellStyles count="6">
    <cellStyle name="Accent1" xfId="4" builtinId="29"/>
    <cellStyle name="Accent6" xfId="5" builtinId="49"/>
    <cellStyle name="Bad" xfId="3" builtinId="27"/>
    <cellStyle name="Comma" xfId="1" builtinId="3"/>
    <cellStyle name="Good" xfId="2" builtinId="26"/>
    <cellStyle name="Normal" xfId="0" builtinId="0"/>
  </cellStyles>
  <dxfs count="16">
    <dxf>
      <font>
        <b/>
        <i val="0"/>
        <strike val="0"/>
        <condense val="0"/>
        <extend val="0"/>
        <outline val="0"/>
        <shadow val="0"/>
        <u val="none"/>
        <vertAlign val="baseline"/>
        <sz val="12"/>
        <color theme="1"/>
        <name val="Calibri"/>
        <scheme val="minor"/>
      </font>
    </dxf>
    <dxf>
      <font>
        <strike val="0"/>
        <outline val="0"/>
        <shadow val="0"/>
        <u val="none"/>
        <vertAlign val="baseline"/>
        <color rgb="FFCC0099"/>
        <name val="Calibri"/>
        <scheme val="minor"/>
      </font>
      <protection locked="0" hidden="0"/>
    </dxf>
    <dxf>
      <font>
        <strike val="0"/>
        <outline val="0"/>
        <shadow val="0"/>
        <u val="none"/>
        <vertAlign val="baseline"/>
        <color rgb="FFCC0099"/>
        <name val="Calibri"/>
        <scheme val="minor"/>
      </font>
      <numFmt numFmtId="0" formatCode="General"/>
      <protection locked="1" hidden="0"/>
    </dxf>
    <dxf>
      <font>
        <strike val="0"/>
        <outline val="0"/>
        <shadow val="0"/>
        <u val="none"/>
        <vertAlign val="baseline"/>
        <color rgb="FFCC0099"/>
        <name val="Calibri"/>
        <scheme val="minor"/>
      </font>
      <alignment horizontal="general" vertical="bottom" textRotation="0" wrapText="1" indent="0" justifyLastLine="0" shrinkToFit="0" readingOrder="0"/>
      <protection locked="0" hidden="0"/>
    </dxf>
    <dxf>
      <font>
        <strike val="0"/>
        <outline val="0"/>
        <shadow val="0"/>
        <u val="none"/>
        <vertAlign val="baseline"/>
        <color rgb="FFCC0099"/>
        <name val="Calibri"/>
        <scheme val="minor"/>
      </font>
      <alignment horizontal="general" vertical="bottom" textRotation="0" wrapText="1" indent="0" justifyLastLine="0" shrinkToFit="0" readingOrder="0"/>
      <protection locked="0" hidden="0"/>
    </dxf>
    <dxf>
      <font>
        <strike val="0"/>
        <outline val="0"/>
        <shadow val="0"/>
        <u val="none"/>
        <vertAlign val="baseline"/>
        <color rgb="FFCC0099"/>
        <name val="Calibri"/>
        <scheme val="minor"/>
      </font>
      <alignment horizontal="general" vertical="bottom" textRotation="0" wrapText="1" indent="0" justifyLastLine="0" shrinkToFit="0" readingOrder="0"/>
      <protection locked="0" hidden="0"/>
    </dxf>
    <dxf>
      <border>
        <bottom style="medium">
          <color rgb="FF660033"/>
        </bottom>
      </border>
    </dxf>
    <dxf>
      <font>
        <strike val="0"/>
        <outline val="0"/>
        <shadow val="0"/>
        <u val="none"/>
        <vertAlign val="baseline"/>
        <color rgb="FFCC0099"/>
        <name val="Calibri"/>
        <scheme val="minor"/>
      </font>
      <protection locked="0" hidden="0"/>
    </dxf>
    <dxf>
      <font>
        <b/>
        <strike val="0"/>
        <outline val="0"/>
        <shadow val="0"/>
        <u val="none"/>
        <vertAlign val="baseline"/>
        <sz val="9"/>
        <color theme="0"/>
        <name val="Georgia"/>
        <scheme val="none"/>
      </font>
      <fill>
        <patternFill patternType="solid">
          <fgColor indexed="64"/>
          <bgColor rgb="FF660033"/>
        </patternFill>
      </fill>
      <alignment horizontal="center" vertical="top" textRotation="0" wrapText="1" indent="0" justifyLastLine="0" shrinkToFit="0" readingOrder="0"/>
      <border diagonalUp="0" diagonalDown="0">
        <left/>
        <right/>
        <top/>
        <bottom/>
      </border>
      <protection locked="1" hidden="0"/>
    </dxf>
    <dxf>
      <protection locked="0" hidden="0"/>
    </dxf>
    <dxf>
      <font>
        <strike val="0"/>
        <outline val="0"/>
        <shadow val="0"/>
        <u val="none"/>
        <vertAlign val="baseline"/>
        <sz val="11"/>
        <color rgb="FF002060"/>
        <name val="Calibri"/>
        <scheme val="minor"/>
      </font>
      <protection locked="0" hidden="0"/>
    </dxf>
    <dxf>
      <border>
        <bottom style="medium">
          <color rgb="FF660033"/>
        </bottom>
      </border>
    </dxf>
    <dxf>
      <font>
        <strike val="0"/>
        <outline val="0"/>
        <shadow val="0"/>
        <u val="none"/>
        <vertAlign val="baseline"/>
        <sz val="11"/>
        <color rgb="FF002060"/>
        <name val="Calibri"/>
        <scheme val="minor"/>
      </font>
      <protection locked="0" hidden="0"/>
    </dxf>
    <dxf>
      <font>
        <b/>
        <strike val="0"/>
        <outline val="0"/>
        <shadow val="0"/>
        <u val="none"/>
        <vertAlign val="baseline"/>
        <sz val="9"/>
        <color theme="0"/>
        <name val="Georgia"/>
        <scheme val="none"/>
      </font>
      <fill>
        <patternFill patternType="solid">
          <fgColor indexed="64"/>
          <bgColor rgb="FF660033"/>
        </patternFill>
      </fill>
      <alignment horizontal="center" vertical="top" textRotation="0" wrapText="1" indent="0" justifyLastLine="0" shrinkToFit="0" readingOrder="0"/>
      <border diagonalUp="0" diagonalDown="0">
        <left style="thin">
          <color indexed="64"/>
        </left>
        <right style="thin">
          <color indexed="64"/>
        </right>
        <top/>
        <bottom/>
      </border>
      <protection locked="1" hidden="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colors>
    <mruColors>
      <color rgb="FF660033"/>
      <color rgb="FFCC0099"/>
      <color rgb="FFFFDD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11</xdr:col>
      <xdr:colOff>431800</xdr:colOff>
      <xdr:row>82</xdr:row>
      <xdr:rowOff>25400</xdr:rowOff>
    </xdr:from>
    <xdr:to>
      <xdr:col>11</xdr:col>
      <xdr:colOff>1701800</xdr:colOff>
      <xdr:row>88</xdr:row>
      <xdr:rowOff>152400</xdr:rowOff>
    </xdr:to>
    <xdr:sp macro="" textlink="">
      <xdr:nvSpPr>
        <xdr:cNvPr id="8" name="Rounded Rectangle 7">
          <a:extLst>
            <a:ext uri="{FF2B5EF4-FFF2-40B4-BE49-F238E27FC236}">
              <a16:creationId xmlns:a16="http://schemas.microsoft.com/office/drawing/2014/main" id="{00000000-0008-0000-0000-000008000000}"/>
            </a:ext>
          </a:extLst>
        </xdr:cNvPr>
        <xdr:cNvSpPr/>
      </xdr:nvSpPr>
      <xdr:spPr>
        <a:xfrm>
          <a:off x="15875000" y="158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342900</xdr:colOff>
      <xdr:row>95</xdr:row>
      <xdr:rowOff>88900</xdr:rowOff>
    </xdr:from>
    <xdr:to>
      <xdr:col>14</xdr:col>
      <xdr:colOff>266700</xdr:colOff>
      <xdr:row>102</xdr:row>
      <xdr:rowOff>25400</xdr:rowOff>
    </xdr:to>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18415000" y="184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190500</xdr:colOff>
      <xdr:row>108</xdr:row>
      <xdr:rowOff>152400</xdr:rowOff>
    </xdr:from>
    <xdr:to>
      <xdr:col>18</xdr:col>
      <xdr:colOff>114300</xdr:colOff>
      <xdr:row>115</xdr:row>
      <xdr:rowOff>88900</xdr:rowOff>
    </xdr:to>
    <xdr:sp macro="" textlink="">
      <xdr:nvSpPr>
        <xdr:cNvPr id="10" name="Rounded Rectangle 9">
          <a:extLst>
            <a:ext uri="{FF2B5EF4-FFF2-40B4-BE49-F238E27FC236}">
              <a16:creationId xmlns:a16="http://schemas.microsoft.com/office/drawing/2014/main" id="{00000000-0008-0000-0000-00000A000000}"/>
            </a:ext>
          </a:extLst>
        </xdr:cNvPr>
        <xdr:cNvSpPr/>
      </xdr:nvSpPr>
      <xdr:spPr>
        <a:xfrm>
          <a:off x="20955000" y="209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38100</xdr:colOff>
      <xdr:row>122</xdr:row>
      <xdr:rowOff>25400</xdr:rowOff>
    </xdr:from>
    <xdr:to>
      <xdr:col>21</xdr:col>
      <xdr:colOff>635000</xdr:colOff>
      <xdr:row>128</xdr:row>
      <xdr:rowOff>152400</xdr:rowOff>
    </xdr:to>
    <xdr:sp macro="" textlink="">
      <xdr:nvSpPr>
        <xdr:cNvPr id="11" name="Rounded Rectangle 10">
          <a:extLst>
            <a:ext uri="{FF2B5EF4-FFF2-40B4-BE49-F238E27FC236}">
              <a16:creationId xmlns:a16="http://schemas.microsoft.com/office/drawing/2014/main" id="{00000000-0008-0000-0000-00000B000000}"/>
            </a:ext>
          </a:extLst>
        </xdr:cNvPr>
        <xdr:cNvSpPr/>
      </xdr:nvSpPr>
      <xdr:spPr>
        <a:xfrm>
          <a:off x="23495000" y="234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23</xdr:col>
      <xdr:colOff>558800</xdr:colOff>
      <xdr:row>135</xdr:row>
      <xdr:rowOff>88900</xdr:rowOff>
    </xdr:from>
    <xdr:to>
      <xdr:col>25</xdr:col>
      <xdr:colOff>482600</xdr:colOff>
      <xdr:row>142</xdr:row>
      <xdr:rowOff>25400</xdr:rowOff>
    </xdr:to>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26035000" y="260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406400</xdr:colOff>
      <xdr:row>148</xdr:row>
      <xdr:rowOff>152400</xdr:rowOff>
    </xdr:from>
    <xdr:to>
      <xdr:col>29</xdr:col>
      <xdr:colOff>330200</xdr:colOff>
      <xdr:row>155</xdr:row>
      <xdr:rowOff>88900</xdr:rowOff>
    </xdr:to>
    <xdr:sp macro="" textlink="">
      <xdr:nvSpPr>
        <xdr:cNvPr id="13" name="Rounded Rectangle 12">
          <a:extLst>
            <a:ext uri="{FF2B5EF4-FFF2-40B4-BE49-F238E27FC236}">
              <a16:creationId xmlns:a16="http://schemas.microsoft.com/office/drawing/2014/main" id="{00000000-0008-0000-0000-00000D000000}"/>
            </a:ext>
          </a:extLst>
        </xdr:cNvPr>
        <xdr:cNvSpPr/>
      </xdr:nvSpPr>
      <xdr:spPr>
        <a:xfrm>
          <a:off x="28575000" y="285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31</xdr:col>
      <xdr:colOff>254000</xdr:colOff>
      <xdr:row>162</xdr:row>
      <xdr:rowOff>25400</xdr:rowOff>
    </xdr:from>
    <xdr:to>
      <xdr:col>33</xdr:col>
      <xdr:colOff>177800</xdr:colOff>
      <xdr:row>168</xdr:row>
      <xdr:rowOff>152400</xdr:rowOff>
    </xdr:to>
    <xdr:sp macro="" textlink="">
      <xdr:nvSpPr>
        <xdr:cNvPr id="14" name="Rounded Rectangle 13">
          <a:extLst>
            <a:ext uri="{FF2B5EF4-FFF2-40B4-BE49-F238E27FC236}">
              <a16:creationId xmlns:a16="http://schemas.microsoft.com/office/drawing/2014/main" id="{00000000-0008-0000-0000-00000E000000}"/>
            </a:ext>
          </a:extLst>
        </xdr:cNvPr>
        <xdr:cNvSpPr/>
      </xdr:nvSpPr>
      <xdr:spPr>
        <a:xfrm>
          <a:off x="31115000" y="311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35</xdr:col>
      <xdr:colOff>101600</xdr:colOff>
      <xdr:row>175</xdr:row>
      <xdr:rowOff>88900</xdr:rowOff>
    </xdr:from>
    <xdr:to>
      <xdr:col>37</xdr:col>
      <xdr:colOff>25400</xdr:colOff>
      <xdr:row>182</xdr:row>
      <xdr:rowOff>25400</xdr:rowOff>
    </xdr:to>
    <xdr:sp macro="" textlink="">
      <xdr:nvSpPr>
        <xdr:cNvPr id="15" name="Rounded Rectangle 14">
          <a:extLst>
            <a:ext uri="{FF2B5EF4-FFF2-40B4-BE49-F238E27FC236}">
              <a16:creationId xmlns:a16="http://schemas.microsoft.com/office/drawing/2014/main" id="{00000000-0008-0000-0000-00000F000000}"/>
            </a:ext>
          </a:extLst>
        </xdr:cNvPr>
        <xdr:cNvSpPr/>
      </xdr:nvSpPr>
      <xdr:spPr>
        <a:xfrm>
          <a:off x="33655000" y="336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38</xdr:col>
      <xdr:colOff>622300</xdr:colOff>
      <xdr:row>188</xdr:row>
      <xdr:rowOff>152400</xdr:rowOff>
    </xdr:from>
    <xdr:to>
      <xdr:col>40</xdr:col>
      <xdr:colOff>546100</xdr:colOff>
      <xdr:row>195</xdr:row>
      <xdr:rowOff>88900</xdr:rowOff>
    </xdr:to>
    <xdr:sp macro="" textlink="">
      <xdr:nvSpPr>
        <xdr:cNvPr id="16" name="Rounded Rectangle 15">
          <a:extLst>
            <a:ext uri="{FF2B5EF4-FFF2-40B4-BE49-F238E27FC236}">
              <a16:creationId xmlns:a16="http://schemas.microsoft.com/office/drawing/2014/main" id="{00000000-0008-0000-0000-000010000000}"/>
            </a:ext>
          </a:extLst>
        </xdr:cNvPr>
        <xdr:cNvSpPr/>
      </xdr:nvSpPr>
      <xdr:spPr>
        <a:xfrm>
          <a:off x="36195000" y="361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42</xdr:col>
      <xdr:colOff>469900</xdr:colOff>
      <xdr:row>202</xdr:row>
      <xdr:rowOff>25400</xdr:rowOff>
    </xdr:from>
    <xdr:to>
      <xdr:col>44</xdr:col>
      <xdr:colOff>393700</xdr:colOff>
      <xdr:row>208</xdr:row>
      <xdr:rowOff>152400</xdr:rowOff>
    </xdr:to>
    <xdr:sp macro="" textlink="">
      <xdr:nvSpPr>
        <xdr:cNvPr id="17" name="Rounded Rectangle 16">
          <a:extLst>
            <a:ext uri="{FF2B5EF4-FFF2-40B4-BE49-F238E27FC236}">
              <a16:creationId xmlns:a16="http://schemas.microsoft.com/office/drawing/2014/main" id="{00000000-0008-0000-0000-000011000000}"/>
            </a:ext>
          </a:extLst>
        </xdr:cNvPr>
        <xdr:cNvSpPr/>
      </xdr:nvSpPr>
      <xdr:spPr>
        <a:xfrm>
          <a:off x="38735000" y="387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431800</xdr:colOff>
      <xdr:row>82</xdr:row>
      <xdr:rowOff>25400</xdr:rowOff>
    </xdr:from>
    <xdr:to>
      <xdr:col>11</xdr:col>
      <xdr:colOff>1701800</xdr:colOff>
      <xdr:row>88</xdr:row>
      <xdr:rowOff>152400</xdr:rowOff>
    </xdr:to>
    <xdr:sp macro="" textlink="">
      <xdr:nvSpPr>
        <xdr:cNvPr id="24" name="Rounded Rectangle 23">
          <a:extLst>
            <a:ext uri="{FF2B5EF4-FFF2-40B4-BE49-F238E27FC236}">
              <a16:creationId xmlns:a16="http://schemas.microsoft.com/office/drawing/2014/main" id="{00000000-0008-0000-0000-000018000000}"/>
            </a:ext>
          </a:extLst>
        </xdr:cNvPr>
        <xdr:cNvSpPr/>
      </xdr:nvSpPr>
      <xdr:spPr>
        <a:xfrm>
          <a:off x="15875000" y="158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342900</xdr:colOff>
      <xdr:row>95</xdr:row>
      <xdr:rowOff>88900</xdr:rowOff>
    </xdr:from>
    <xdr:to>
      <xdr:col>14</xdr:col>
      <xdr:colOff>266700</xdr:colOff>
      <xdr:row>102</xdr:row>
      <xdr:rowOff>25400</xdr:rowOff>
    </xdr:to>
    <xdr:sp macro="" textlink="">
      <xdr:nvSpPr>
        <xdr:cNvPr id="25" name="Rounded Rectangle 24">
          <a:extLst>
            <a:ext uri="{FF2B5EF4-FFF2-40B4-BE49-F238E27FC236}">
              <a16:creationId xmlns:a16="http://schemas.microsoft.com/office/drawing/2014/main" id="{00000000-0008-0000-0000-000019000000}"/>
            </a:ext>
          </a:extLst>
        </xdr:cNvPr>
        <xdr:cNvSpPr/>
      </xdr:nvSpPr>
      <xdr:spPr>
        <a:xfrm>
          <a:off x="18415000" y="184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190500</xdr:colOff>
      <xdr:row>108</xdr:row>
      <xdr:rowOff>152400</xdr:rowOff>
    </xdr:from>
    <xdr:to>
      <xdr:col>18</xdr:col>
      <xdr:colOff>114300</xdr:colOff>
      <xdr:row>115</xdr:row>
      <xdr:rowOff>88900</xdr:rowOff>
    </xdr:to>
    <xdr:sp macro="" textlink="">
      <xdr:nvSpPr>
        <xdr:cNvPr id="26" name="Rounded Rectangle 25">
          <a:extLst>
            <a:ext uri="{FF2B5EF4-FFF2-40B4-BE49-F238E27FC236}">
              <a16:creationId xmlns:a16="http://schemas.microsoft.com/office/drawing/2014/main" id="{00000000-0008-0000-0000-00001A000000}"/>
            </a:ext>
          </a:extLst>
        </xdr:cNvPr>
        <xdr:cNvSpPr/>
      </xdr:nvSpPr>
      <xdr:spPr>
        <a:xfrm>
          <a:off x="20955000" y="209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38100</xdr:colOff>
      <xdr:row>122</xdr:row>
      <xdr:rowOff>25400</xdr:rowOff>
    </xdr:from>
    <xdr:to>
      <xdr:col>21</xdr:col>
      <xdr:colOff>635000</xdr:colOff>
      <xdr:row>128</xdr:row>
      <xdr:rowOff>152400</xdr:rowOff>
    </xdr:to>
    <xdr:sp macro="" textlink="">
      <xdr:nvSpPr>
        <xdr:cNvPr id="27" name="Rounded Rectangle 26">
          <a:extLst>
            <a:ext uri="{FF2B5EF4-FFF2-40B4-BE49-F238E27FC236}">
              <a16:creationId xmlns:a16="http://schemas.microsoft.com/office/drawing/2014/main" id="{00000000-0008-0000-0000-00001B000000}"/>
            </a:ext>
          </a:extLst>
        </xdr:cNvPr>
        <xdr:cNvSpPr/>
      </xdr:nvSpPr>
      <xdr:spPr>
        <a:xfrm>
          <a:off x="23495000" y="234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23</xdr:col>
      <xdr:colOff>558800</xdr:colOff>
      <xdr:row>135</xdr:row>
      <xdr:rowOff>88900</xdr:rowOff>
    </xdr:from>
    <xdr:to>
      <xdr:col>25</xdr:col>
      <xdr:colOff>482600</xdr:colOff>
      <xdr:row>142</xdr:row>
      <xdr:rowOff>25400</xdr:rowOff>
    </xdr:to>
    <xdr:sp macro="" textlink="">
      <xdr:nvSpPr>
        <xdr:cNvPr id="28" name="Rounded Rectangle 27">
          <a:extLst>
            <a:ext uri="{FF2B5EF4-FFF2-40B4-BE49-F238E27FC236}">
              <a16:creationId xmlns:a16="http://schemas.microsoft.com/office/drawing/2014/main" id="{00000000-0008-0000-0000-00001C000000}"/>
            </a:ext>
          </a:extLst>
        </xdr:cNvPr>
        <xdr:cNvSpPr/>
      </xdr:nvSpPr>
      <xdr:spPr>
        <a:xfrm>
          <a:off x="26035000" y="260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406400</xdr:colOff>
      <xdr:row>148</xdr:row>
      <xdr:rowOff>152400</xdr:rowOff>
    </xdr:from>
    <xdr:to>
      <xdr:col>29</xdr:col>
      <xdr:colOff>330200</xdr:colOff>
      <xdr:row>155</xdr:row>
      <xdr:rowOff>88900</xdr:rowOff>
    </xdr:to>
    <xdr:sp macro="" textlink="">
      <xdr:nvSpPr>
        <xdr:cNvPr id="29" name="Rounded Rectangle 28">
          <a:extLst>
            <a:ext uri="{FF2B5EF4-FFF2-40B4-BE49-F238E27FC236}">
              <a16:creationId xmlns:a16="http://schemas.microsoft.com/office/drawing/2014/main" id="{00000000-0008-0000-0000-00001D000000}"/>
            </a:ext>
          </a:extLst>
        </xdr:cNvPr>
        <xdr:cNvSpPr/>
      </xdr:nvSpPr>
      <xdr:spPr>
        <a:xfrm>
          <a:off x="28575000" y="285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31</xdr:col>
      <xdr:colOff>254000</xdr:colOff>
      <xdr:row>162</xdr:row>
      <xdr:rowOff>25400</xdr:rowOff>
    </xdr:from>
    <xdr:to>
      <xdr:col>33</xdr:col>
      <xdr:colOff>177800</xdr:colOff>
      <xdr:row>168</xdr:row>
      <xdr:rowOff>152400</xdr:rowOff>
    </xdr:to>
    <xdr:sp macro="" textlink="">
      <xdr:nvSpPr>
        <xdr:cNvPr id="30" name="Rounded Rectangle 29">
          <a:extLst>
            <a:ext uri="{FF2B5EF4-FFF2-40B4-BE49-F238E27FC236}">
              <a16:creationId xmlns:a16="http://schemas.microsoft.com/office/drawing/2014/main" id="{00000000-0008-0000-0000-00001E000000}"/>
            </a:ext>
          </a:extLst>
        </xdr:cNvPr>
        <xdr:cNvSpPr/>
      </xdr:nvSpPr>
      <xdr:spPr>
        <a:xfrm>
          <a:off x="31115000" y="311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35</xdr:col>
      <xdr:colOff>101600</xdr:colOff>
      <xdr:row>175</xdr:row>
      <xdr:rowOff>88900</xdr:rowOff>
    </xdr:from>
    <xdr:to>
      <xdr:col>37</xdr:col>
      <xdr:colOff>25400</xdr:colOff>
      <xdr:row>182</xdr:row>
      <xdr:rowOff>25400</xdr:rowOff>
    </xdr:to>
    <xdr:sp macro="" textlink="">
      <xdr:nvSpPr>
        <xdr:cNvPr id="31" name="Rounded Rectangle 30">
          <a:extLst>
            <a:ext uri="{FF2B5EF4-FFF2-40B4-BE49-F238E27FC236}">
              <a16:creationId xmlns:a16="http://schemas.microsoft.com/office/drawing/2014/main" id="{00000000-0008-0000-0000-00001F000000}"/>
            </a:ext>
          </a:extLst>
        </xdr:cNvPr>
        <xdr:cNvSpPr/>
      </xdr:nvSpPr>
      <xdr:spPr>
        <a:xfrm>
          <a:off x="33655000" y="336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38</xdr:col>
      <xdr:colOff>622300</xdr:colOff>
      <xdr:row>188</xdr:row>
      <xdr:rowOff>152400</xdr:rowOff>
    </xdr:from>
    <xdr:to>
      <xdr:col>40</xdr:col>
      <xdr:colOff>546100</xdr:colOff>
      <xdr:row>195</xdr:row>
      <xdr:rowOff>88900</xdr:rowOff>
    </xdr:to>
    <xdr:sp macro="" textlink="">
      <xdr:nvSpPr>
        <xdr:cNvPr id="32" name="Rounded Rectangle 31">
          <a:extLst>
            <a:ext uri="{FF2B5EF4-FFF2-40B4-BE49-F238E27FC236}">
              <a16:creationId xmlns:a16="http://schemas.microsoft.com/office/drawing/2014/main" id="{00000000-0008-0000-0000-000020000000}"/>
            </a:ext>
          </a:extLst>
        </xdr:cNvPr>
        <xdr:cNvSpPr/>
      </xdr:nvSpPr>
      <xdr:spPr>
        <a:xfrm>
          <a:off x="36195000" y="361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42</xdr:col>
      <xdr:colOff>469900</xdr:colOff>
      <xdr:row>202</xdr:row>
      <xdr:rowOff>25400</xdr:rowOff>
    </xdr:from>
    <xdr:to>
      <xdr:col>44</xdr:col>
      <xdr:colOff>393700</xdr:colOff>
      <xdr:row>208</xdr:row>
      <xdr:rowOff>152400</xdr:rowOff>
    </xdr:to>
    <xdr:sp macro="" textlink="">
      <xdr:nvSpPr>
        <xdr:cNvPr id="33" name="Rounded Rectangle 32">
          <a:extLst>
            <a:ext uri="{FF2B5EF4-FFF2-40B4-BE49-F238E27FC236}">
              <a16:creationId xmlns:a16="http://schemas.microsoft.com/office/drawing/2014/main" id="{00000000-0008-0000-0000-000021000000}"/>
            </a:ext>
          </a:extLst>
        </xdr:cNvPr>
        <xdr:cNvSpPr/>
      </xdr:nvSpPr>
      <xdr:spPr>
        <a:xfrm>
          <a:off x="38735000" y="387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28575</xdr:colOff>
      <xdr:row>12</xdr:row>
      <xdr:rowOff>28575</xdr:rowOff>
    </xdr:from>
    <xdr:to>
      <xdr:col>8</xdr:col>
      <xdr:colOff>9525</xdr:colOff>
      <xdr:row>14</xdr:row>
      <xdr:rowOff>38100</xdr:rowOff>
    </xdr:to>
    <xdr:sp macro="" textlink="">
      <xdr:nvSpPr>
        <xdr:cNvPr id="1028" name="Button 4" descr="Create Customer Journey Map"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993366"/>
              </a:solidFill>
              <a:latin typeface="Calibri"/>
              <a:cs typeface="Calibri"/>
            </a:rPr>
            <a:t>Create Customer Journey Map</a:t>
          </a:r>
        </a:p>
      </xdr:txBody>
    </xdr:sp>
    <xdr:clientData fPrintsWithSheet="0"/>
  </xdr:twoCellAnchor>
</xdr:wsDr>
</file>

<file path=xl/persons/person.xml><?xml version="1.0" encoding="utf-8"?>
<personList xmlns="http://schemas.microsoft.com/office/spreadsheetml/2018/threadedcomments" xmlns:x="http://schemas.openxmlformats.org/spreadsheetml/2006/main">
  <person displayName="Jackson Andres" id="{39234FA2-F5DF-484C-B590-C5DF982DA86C}" userId="S::JA720929@na.firstsource.com::211c1c8a-9032-432d-94f5-d2ca03ba5da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B3:E17" totalsRowShown="0">
  <tableColumns count="4">
    <tableColumn id="1" xr3:uid="{00000000-0010-0000-0000-000001000000}" name="S No"/>
    <tableColumn id="2" xr3:uid="{00000000-0010-0000-0000-000002000000}" name="Role "/>
    <tableColumn id="3" xr3:uid="{00000000-0010-0000-0000-000003000000}" name="Name of Team  Member" dataDxfId="15"/>
    <tableColumn id="4" xr3:uid="{00000000-0010-0000-0000-000004000000}" name="Count" dataDxfId="14"/>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16:C58" totalsRowShown="0" headerRowDxfId="13" dataDxfId="12" headerRowBorderDxfId="11">
  <tableColumns count="2">
    <tableColumn id="1" xr3:uid="{00000000-0010-0000-0100-000001000000}" name="Step Number" dataDxfId="10"/>
    <tableColumn id="2" xr3:uid="{00000000-0010-0000-0100-000002000000}" name="Steps" dataDxfId="9"/>
  </tableColumns>
  <tableStyleInfo name="TableStyleLight1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16:H58" totalsRowShown="0" headerRowDxfId="8" dataDxfId="7" headerRowBorderDxfId="6">
  <tableColumns count="5">
    <tableColumn id="2" xr3:uid="{00000000-0010-0000-0200-000002000000}" name="Negative Emotion" dataDxfId="5"/>
    <tableColumn id="3" xr3:uid="{00000000-0010-0000-0200-000003000000}" name="High TAT" dataDxfId="4"/>
    <tableColumn id="4" xr3:uid="{00000000-0010-0000-0200-000004000000}" name="Opposes Intention" dataDxfId="3"/>
    <tableColumn id="5" xr3:uid="{00000000-0010-0000-0200-000005000000}" name="Trim Tab" dataDxfId="2">
      <calculatedColumnFormula>AVERAGE(Table2[[#This Row],[Negative Emotion]:[Opposes Intention]])</calculatedColumnFormula>
    </tableColumn>
    <tableColumn id="6" xr3:uid="{00000000-0010-0000-0200-000006000000}" name="Comments" dataDxfId="1"/>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46" displayName="Table46" ref="B6:C35" totalsRowShown="0" headerRowDxfId="0">
  <tableColumns count="2">
    <tableColumn id="1" xr3:uid="{00000000-0010-0000-0300-000001000000}" name="S No"/>
    <tableColumn id="2" xr3:uid="{00000000-0010-0000-0300-000002000000}" name="ROBOTIC STEPS for Customer Journey step 4 - Trim tab step "/>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7" dT="2021-01-12T14:48:41.87" personId="{39234FA2-F5DF-484C-B590-C5DF982DA86C}" id="{D2DCBBCE-D886-4191-B0A8-E7E743D5F3CF}">
    <text>The time it took to do this process manually</text>
  </threadedComment>
  <threadedComment ref="F8" dT="2021-01-12T14:48:52.91" personId="{39234FA2-F5DF-484C-B590-C5DF982DA86C}" id="{84816CBF-B304-421B-B937-79E2B5B1DD15}">
    <text>The time it will take for the automation to do this task</text>
  </threadedComment>
  <threadedComment ref="F9" dT="2021-01-12T14:49:05.58" personId="{39234FA2-F5DF-484C-B590-C5DF982DA86C}" id="{E38DE416-D01E-4297-BD7D-A1092B0E9990}">
    <text>How many times each employee that will use this automation will use it</text>
  </threadedComment>
  <threadedComment ref="F10" dT="2021-01-12T14:49:15.48" personId="{39234FA2-F5DF-484C-B590-C5DF982DA86C}" id="{F853D649-736A-4059-BB0F-3A5A2B7427E7}">
    <text>How many employees will be using this automation</text>
  </threadedComment>
  <threadedComment ref="F11" dT="2021-01-12T14:50:11.64" personId="{39234FA2-F5DF-484C-B590-C5DF982DA86C}" id="{95040FD4-F289-4982-A29E-A24FED8E7C93}">
    <text>The average salary of the employees using this automation</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C1:G8"/>
  <sheetViews>
    <sheetView showGridLines="0" workbookViewId="0">
      <selection activeCell="E2" sqref="E2"/>
    </sheetView>
  </sheetViews>
  <sheetFormatPr defaultRowHeight="15"/>
  <cols>
    <col min="3" max="3" width="52.28515625" bestFit="1" customWidth="1"/>
  </cols>
  <sheetData>
    <row r="1" spans="3:7" ht="15.75" thickBot="1"/>
    <row r="2" spans="3:7" ht="26.25">
      <c r="C2" s="54" t="s">
        <v>0</v>
      </c>
      <c r="D2" s="43" t="s">
        <v>1</v>
      </c>
      <c r="E2" s="44"/>
      <c r="F2" s="44"/>
      <c r="G2" s="45"/>
    </row>
    <row r="3" spans="3:7">
      <c r="C3" s="46"/>
      <c r="D3" s="47"/>
      <c r="E3" s="47"/>
      <c r="F3" s="47"/>
      <c r="G3" s="48"/>
    </row>
    <row r="4" spans="3:7" ht="26.25">
      <c r="C4" s="55" t="s">
        <v>2</v>
      </c>
      <c r="D4" s="49" t="s">
        <v>3</v>
      </c>
      <c r="E4" s="47"/>
      <c r="F4" s="47"/>
      <c r="G4" s="48"/>
    </row>
    <row r="5" spans="3:7">
      <c r="C5" s="46"/>
      <c r="D5" s="47"/>
      <c r="E5" s="47"/>
      <c r="F5" s="47"/>
      <c r="G5" s="48"/>
    </row>
    <row r="6" spans="3:7" ht="23.25">
      <c r="C6" s="56" t="s">
        <v>4</v>
      </c>
      <c r="D6" s="50" t="s">
        <v>5</v>
      </c>
      <c r="E6" s="47"/>
      <c r="F6" s="47"/>
      <c r="G6" s="48"/>
    </row>
    <row r="7" spans="3:7" ht="15.75" thickBot="1">
      <c r="C7" s="51"/>
      <c r="D7" s="52"/>
      <c r="E7" s="52"/>
      <c r="F7" s="52"/>
      <c r="G7" s="53"/>
    </row>
    <row r="8" spans="3:7">
      <c r="C8" s="38"/>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I17"/>
  <sheetViews>
    <sheetView workbookViewId="0">
      <selection activeCell="E9" sqref="E9"/>
    </sheetView>
  </sheetViews>
  <sheetFormatPr defaultRowHeight="15"/>
  <cols>
    <col min="3" max="3" width="25.85546875" bestFit="1" customWidth="1"/>
    <col min="4" max="4" width="32.28515625" customWidth="1"/>
    <col min="5" max="5" width="22.7109375" customWidth="1"/>
  </cols>
  <sheetData>
    <row r="3" spans="2:9" ht="21">
      <c r="B3" s="41" t="s">
        <v>6</v>
      </c>
      <c r="C3" s="42" t="s">
        <v>7</v>
      </c>
      <c r="D3" s="57" t="s">
        <v>8</v>
      </c>
      <c r="E3" s="57" t="s">
        <v>9</v>
      </c>
    </row>
    <row r="4" spans="2:9" ht="15.75" customHeight="1">
      <c r="B4">
        <v>1</v>
      </c>
      <c r="C4" s="65" t="s">
        <v>10</v>
      </c>
      <c r="D4" s="66"/>
      <c r="E4" s="58">
        <v>1</v>
      </c>
      <c r="F4" s="39"/>
      <c r="G4" s="39"/>
      <c r="H4" s="39"/>
      <c r="I4" s="39"/>
    </row>
    <row r="5" spans="2:9">
      <c r="B5">
        <v>2</v>
      </c>
      <c r="C5" t="s">
        <v>11</v>
      </c>
      <c r="D5" s="58"/>
      <c r="E5" s="58">
        <v>3</v>
      </c>
    </row>
    <row r="6" spans="2:9">
      <c r="B6">
        <v>3</v>
      </c>
      <c r="C6" t="s">
        <v>12</v>
      </c>
      <c r="D6" s="58"/>
      <c r="E6" s="58">
        <v>15</v>
      </c>
    </row>
    <row r="7" spans="2:9">
      <c r="B7">
        <v>4</v>
      </c>
      <c r="C7" t="s">
        <v>13</v>
      </c>
      <c r="D7" s="58"/>
      <c r="E7" s="58" t="s">
        <v>14</v>
      </c>
    </row>
    <row r="8" spans="2:9">
      <c r="B8">
        <v>5</v>
      </c>
      <c r="C8" t="s">
        <v>15</v>
      </c>
      <c r="D8" s="58"/>
      <c r="E8" s="58">
        <v>15</v>
      </c>
    </row>
    <row r="9" spans="2:9">
      <c r="B9">
        <v>6</v>
      </c>
      <c r="C9" t="s">
        <v>16</v>
      </c>
      <c r="D9" s="58"/>
      <c r="E9" s="58">
        <v>400</v>
      </c>
    </row>
    <row r="10" spans="2:9">
      <c r="D10" s="58"/>
      <c r="E10" s="58"/>
    </row>
    <row r="11" spans="2:9">
      <c r="D11" s="58"/>
      <c r="E11" s="58"/>
    </row>
    <row r="12" spans="2:9">
      <c r="D12" s="58"/>
      <c r="E12" s="58"/>
    </row>
    <row r="13" spans="2:9">
      <c r="D13" s="58"/>
      <c r="E13" s="58"/>
    </row>
    <row r="14" spans="2:9">
      <c r="D14" s="58"/>
      <c r="E14" s="58"/>
    </row>
    <row r="15" spans="2:9">
      <c r="D15" s="58"/>
      <c r="E15" s="58"/>
    </row>
    <row r="16" spans="2:9">
      <c r="D16" s="58"/>
      <c r="E16" s="58"/>
    </row>
    <row r="17" spans="4:5">
      <c r="D17" s="58"/>
      <c r="E17" s="58"/>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S58"/>
  <sheetViews>
    <sheetView showGridLines="0" zoomScaleNormal="100" workbookViewId="0">
      <selection activeCell="D7" sqref="D7:J7"/>
    </sheetView>
  </sheetViews>
  <sheetFormatPr defaultColWidth="8.85546875" defaultRowHeight="15"/>
  <cols>
    <col min="2" max="2" width="11.42578125" customWidth="1"/>
    <col min="3" max="3" width="73.42578125" style="1" customWidth="1"/>
    <col min="4" max="4" width="13" style="1" customWidth="1"/>
    <col min="5" max="5" width="12.85546875" style="1" customWidth="1"/>
    <col min="6" max="6" width="15.140625" style="1" customWidth="1"/>
    <col min="7" max="7" width="9.42578125" style="21" customWidth="1"/>
    <col min="8" max="8" width="39.42578125" customWidth="1"/>
    <col min="9" max="9" width="4.42578125" customWidth="1"/>
    <col min="10" max="10" width="7.42578125" customWidth="1"/>
    <col min="11" max="11" width="44.85546875" customWidth="1"/>
    <col min="12" max="12" width="34.42578125" customWidth="1"/>
  </cols>
  <sheetData>
    <row r="1" spans="1:19" ht="26.25">
      <c r="A1" s="21"/>
      <c r="B1" s="13" t="s">
        <v>17</v>
      </c>
      <c r="C1" s="4"/>
      <c r="D1"/>
      <c r="E1"/>
      <c r="F1"/>
      <c r="G1"/>
      <c r="K1" s="21"/>
      <c r="L1" s="21"/>
      <c r="M1" s="21"/>
      <c r="N1" s="21"/>
      <c r="O1" s="21"/>
      <c r="P1" s="21"/>
      <c r="Q1" s="21"/>
      <c r="R1" s="21"/>
      <c r="S1" s="21"/>
    </row>
    <row r="2" spans="1:19">
      <c r="A2" s="21"/>
      <c r="B2" s="21"/>
      <c r="C2" s="14"/>
      <c r="D2" s="2"/>
      <c r="E2"/>
      <c r="F2"/>
      <c r="G2"/>
      <c r="K2" s="21"/>
      <c r="L2" s="21"/>
      <c r="M2" s="21"/>
      <c r="N2" s="21"/>
      <c r="O2" s="21"/>
      <c r="P2" s="21"/>
      <c r="Q2" s="21"/>
      <c r="R2" s="21"/>
      <c r="S2" s="21"/>
    </row>
    <row r="3" spans="1:19" ht="15" customHeight="1">
      <c r="A3" s="21"/>
      <c r="B3" s="7"/>
      <c r="C3" s="16" t="s">
        <v>18</v>
      </c>
      <c r="D3" s="2"/>
      <c r="E3"/>
      <c r="F3"/>
      <c r="G3"/>
      <c r="K3" s="21"/>
      <c r="L3" s="21"/>
      <c r="M3" s="21"/>
      <c r="N3" s="21"/>
      <c r="O3" s="21"/>
      <c r="P3" s="21"/>
      <c r="Q3" s="21"/>
      <c r="R3" s="21"/>
      <c r="S3" s="21"/>
    </row>
    <row r="4" spans="1:19" ht="15" customHeight="1" thickBot="1">
      <c r="A4" s="21"/>
      <c r="B4" s="7"/>
      <c r="C4" s="22"/>
      <c r="D4" s="8"/>
      <c r="E4" s="5"/>
      <c r="F4" s="15"/>
      <c r="G4" s="15"/>
      <c r="H4" s="15"/>
      <c r="I4" s="18"/>
      <c r="K4" s="15"/>
      <c r="L4" s="15"/>
      <c r="M4" s="21"/>
      <c r="N4" s="21"/>
      <c r="O4" s="21"/>
      <c r="P4" s="21"/>
      <c r="Q4" s="21"/>
      <c r="R4" s="21"/>
      <c r="S4" s="21"/>
    </row>
    <row r="5" spans="1:19" ht="31.5" customHeight="1">
      <c r="A5" s="21"/>
      <c r="B5" s="7"/>
      <c r="C5" s="34" t="s">
        <v>19</v>
      </c>
      <c r="D5" s="78"/>
      <c r="E5" s="79"/>
      <c r="F5" s="79"/>
      <c r="G5" s="79"/>
      <c r="H5" s="79"/>
      <c r="I5" s="79"/>
      <c r="J5" s="80"/>
      <c r="K5" s="15"/>
      <c r="L5" s="15"/>
      <c r="M5" s="21"/>
      <c r="N5" s="21"/>
      <c r="O5" s="21"/>
      <c r="P5" s="21"/>
      <c r="Q5" s="21"/>
      <c r="R5" s="21"/>
      <c r="S5" s="21"/>
    </row>
    <row r="6" spans="1:19" ht="31.5" customHeight="1">
      <c r="A6" s="21"/>
      <c r="B6" s="7"/>
      <c r="C6" s="35" t="s">
        <v>20</v>
      </c>
      <c r="D6" s="81"/>
      <c r="E6" s="82"/>
      <c r="F6" s="82"/>
      <c r="G6" s="82"/>
      <c r="H6" s="82"/>
      <c r="I6" s="82"/>
      <c r="J6" s="83"/>
      <c r="K6" s="15"/>
      <c r="L6" s="15"/>
      <c r="M6" s="21"/>
      <c r="N6" s="21"/>
      <c r="O6" s="21"/>
      <c r="P6" s="21"/>
      <c r="Q6" s="21"/>
      <c r="R6" s="21"/>
      <c r="S6" s="21"/>
    </row>
    <row r="7" spans="1:19" ht="15" customHeight="1">
      <c r="A7" s="21"/>
      <c r="B7" s="7"/>
      <c r="C7" s="35" t="s">
        <v>21</v>
      </c>
      <c r="D7" s="81"/>
      <c r="E7" s="82"/>
      <c r="F7" s="82"/>
      <c r="G7" s="82"/>
      <c r="H7" s="82"/>
      <c r="I7" s="82"/>
      <c r="J7" s="83"/>
      <c r="K7" s="15"/>
      <c r="L7" s="15"/>
      <c r="M7" s="21"/>
      <c r="N7" s="21"/>
      <c r="O7" s="21"/>
      <c r="P7" s="21"/>
      <c r="Q7" s="21"/>
      <c r="R7" s="21"/>
      <c r="S7" s="21"/>
    </row>
    <row r="8" spans="1:19" ht="31.5">
      <c r="A8" s="21"/>
      <c r="B8" s="7"/>
      <c r="C8" s="35" t="s">
        <v>22</v>
      </c>
      <c r="D8" s="81"/>
      <c r="E8" s="82"/>
      <c r="F8" s="82"/>
      <c r="G8" s="82"/>
      <c r="H8" s="82"/>
      <c r="I8" s="82"/>
      <c r="J8" s="83"/>
      <c r="K8" s="15"/>
      <c r="L8" s="15"/>
      <c r="M8" s="21"/>
      <c r="N8" s="21"/>
      <c r="O8" s="21"/>
      <c r="P8" s="21"/>
      <c r="Q8" s="21"/>
      <c r="R8" s="21"/>
      <c r="S8" s="21"/>
    </row>
    <row r="9" spans="1:19" ht="16.5" thickBot="1">
      <c r="A9" s="21"/>
      <c r="B9" s="7"/>
      <c r="C9" s="36" t="s">
        <v>23</v>
      </c>
      <c r="D9" s="84"/>
      <c r="E9" s="85"/>
      <c r="F9" s="85"/>
      <c r="G9" s="85"/>
      <c r="H9" s="85"/>
      <c r="I9" s="85"/>
      <c r="J9" s="86"/>
      <c r="K9" s="15"/>
      <c r="L9" s="15"/>
      <c r="M9" s="21"/>
      <c r="N9" s="21"/>
      <c r="O9" s="21"/>
      <c r="P9" s="21"/>
      <c r="Q9" s="21"/>
      <c r="R9" s="21"/>
      <c r="S9" s="21"/>
    </row>
    <row r="10" spans="1:19" s="21" customFormat="1" ht="16.5" thickBot="1">
      <c r="B10" s="7"/>
      <c r="C10" s="17"/>
      <c r="D10" s="9"/>
      <c r="E10" s="5"/>
      <c r="F10" s="5"/>
      <c r="G10" s="6"/>
      <c r="H10" s="6"/>
      <c r="I10" s="6"/>
      <c r="J10" s="6"/>
      <c r="K10" s="15"/>
      <c r="L10" s="15"/>
    </row>
    <row r="11" spans="1:19" s="21" customFormat="1">
      <c r="C11" s="75" t="s">
        <v>24</v>
      </c>
      <c r="D11" s="26">
        <v>3</v>
      </c>
      <c r="E11" s="27" t="s">
        <v>25</v>
      </c>
      <c r="F11" s="28"/>
      <c r="I11" s="15"/>
      <c r="J11" s="15"/>
    </row>
    <row r="12" spans="1:19" s="21" customFormat="1">
      <c r="C12" s="76"/>
      <c r="D12" s="29">
        <v>2</v>
      </c>
      <c r="E12" s="25" t="s">
        <v>26</v>
      </c>
      <c r="F12" s="30"/>
      <c r="I12" s="15"/>
      <c r="J12" s="15"/>
    </row>
    <row r="13" spans="1:19" s="21" customFormat="1">
      <c r="C13" s="76"/>
      <c r="D13" s="29">
        <v>1</v>
      </c>
      <c r="E13" s="25" t="s">
        <v>27</v>
      </c>
      <c r="F13" s="30"/>
      <c r="I13" s="15"/>
      <c r="J13" s="15"/>
    </row>
    <row r="14" spans="1:19" s="21" customFormat="1" ht="15" customHeight="1" thickBot="1">
      <c r="B14" s="7"/>
      <c r="C14" s="77"/>
      <c r="D14" s="31">
        <v>0</v>
      </c>
      <c r="E14" s="32" t="s">
        <v>28</v>
      </c>
      <c r="F14" s="33"/>
      <c r="K14" s="15"/>
      <c r="L14" s="15"/>
    </row>
    <row r="15" spans="1:19" s="21" customFormat="1" ht="16.5" thickBot="1">
      <c r="B15" s="7"/>
      <c r="C15" s="17"/>
      <c r="D15" s="9"/>
      <c r="E15" s="5"/>
      <c r="F15" s="5"/>
      <c r="G15" s="15"/>
      <c r="H15" s="6"/>
      <c r="I15" s="6"/>
      <c r="J15" s="6"/>
      <c r="K15" s="15"/>
      <c r="L15" s="15"/>
    </row>
    <row r="16" spans="1:19" s="23" customFormat="1" ht="34.5" customHeight="1" thickBot="1">
      <c r="B16" s="19" t="s">
        <v>29</v>
      </c>
      <c r="C16" s="20" t="s">
        <v>30</v>
      </c>
      <c r="D16" s="20" t="s">
        <v>31</v>
      </c>
      <c r="E16" s="20" t="s">
        <v>32</v>
      </c>
      <c r="F16" s="20" t="s">
        <v>33</v>
      </c>
      <c r="G16" s="20" t="s">
        <v>34</v>
      </c>
      <c r="H16" s="20" t="s">
        <v>35</v>
      </c>
      <c r="I16" s="10"/>
      <c r="J16" s="10"/>
    </row>
    <row r="17" spans="2:19" ht="15.75">
      <c r="B17" s="11">
        <v>1</v>
      </c>
      <c r="C17" s="12"/>
      <c r="D17" s="5">
        <v>0</v>
      </c>
      <c r="E17" s="5">
        <v>0</v>
      </c>
      <c r="F17" s="5">
        <v>0</v>
      </c>
      <c r="G17" s="2">
        <f>AVERAGE(Table2[[#This Row],[Negative Emotion]:[Opposes Intention]])</f>
        <v>0</v>
      </c>
      <c r="H17" s="6"/>
      <c r="I17" s="3"/>
      <c r="J17" s="3"/>
      <c r="K17" s="21"/>
      <c r="L17" s="21"/>
      <c r="M17" s="21"/>
      <c r="N17" s="21"/>
      <c r="O17" s="21"/>
      <c r="P17" s="21"/>
      <c r="Q17" s="21"/>
      <c r="R17" s="21"/>
      <c r="S17" s="21"/>
    </row>
    <row r="18" spans="2:19" ht="15.75">
      <c r="B18" s="11">
        <v>2</v>
      </c>
      <c r="C18" s="12"/>
      <c r="D18" s="5">
        <v>0</v>
      </c>
      <c r="E18" s="5">
        <v>0</v>
      </c>
      <c r="F18" s="5">
        <v>0</v>
      </c>
      <c r="G18" s="2">
        <f>AVERAGE(Table2[[#This Row],[Negative Emotion]:[Opposes Intention]])</f>
        <v>0</v>
      </c>
      <c r="H18" s="6"/>
      <c r="I18" s="3"/>
      <c r="J18" s="3"/>
      <c r="K18" s="21"/>
      <c r="L18" s="21"/>
      <c r="M18" s="21">
        <v>3</v>
      </c>
      <c r="N18" s="21"/>
      <c r="O18" s="21"/>
      <c r="P18" s="21"/>
      <c r="Q18" s="21"/>
      <c r="R18" s="21"/>
      <c r="S18" s="21"/>
    </row>
    <row r="19" spans="2:19" ht="15.75">
      <c r="B19" s="11">
        <v>3</v>
      </c>
      <c r="C19" s="12"/>
      <c r="D19" s="5">
        <v>2</v>
      </c>
      <c r="E19" s="5">
        <v>2</v>
      </c>
      <c r="F19" s="5">
        <v>2</v>
      </c>
      <c r="G19" s="2">
        <f>AVERAGE(Table2[[#This Row],[Negative Emotion]:[Opposes Intention]])</f>
        <v>2</v>
      </c>
      <c r="H19" s="6"/>
      <c r="I19" s="3"/>
      <c r="J19" s="3"/>
      <c r="K19" s="21"/>
      <c r="L19" s="21"/>
      <c r="M19" s="21">
        <v>2</v>
      </c>
      <c r="N19" s="21"/>
      <c r="O19" s="21"/>
      <c r="P19" s="21"/>
      <c r="Q19" s="21"/>
      <c r="R19" s="21"/>
      <c r="S19" s="21"/>
    </row>
    <row r="20" spans="2:19" ht="15.75">
      <c r="B20" s="11">
        <v>4</v>
      </c>
      <c r="C20" s="12"/>
      <c r="D20" s="5">
        <v>2</v>
      </c>
      <c r="E20" s="5">
        <v>2</v>
      </c>
      <c r="F20" s="5">
        <v>2</v>
      </c>
      <c r="G20" s="2">
        <f>AVERAGE(Table2[[#This Row],[Negative Emotion]:[Opposes Intention]])</f>
        <v>2</v>
      </c>
      <c r="H20" s="6"/>
      <c r="I20" s="3"/>
      <c r="J20" s="3"/>
      <c r="K20" s="21"/>
      <c r="L20" s="21"/>
      <c r="M20" s="21">
        <v>1</v>
      </c>
      <c r="N20" s="21"/>
      <c r="O20" s="21"/>
      <c r="P20" s="21"/>
      <c r="Q20" s="21"/>
      <c r="R20" s="21"/>
      <c r="S20" s="21"/>
    </row>
    <row r="21" spans="2:19" ht="15.75">
      <c r="B21" s="11">
        <v>5</v>
      </c>
      <c r="C21" s="12"/>
      <c r="D21" s="5">
        <v>2</v>
      </c>
      <c r="E21" s="5">
        <v>2</v>
      </c>
      <c r="F21" s="5">
        <v>2</v>
      </c>
      <c r="G21" s="2">
        <f>AVERAGE(Table2[[#This Row],[Negative Emotion]:[Opposes Intention]])</f>
        <v>2</v>
      </c>
      <c r="H21" s="6"/>
      <c r="I21" s="3"/>
      <c r="J21" s="3"/>
      <c r="K21" s="21"/>
      <c r="L21" s="21"/>
      <c r="M21" s="21">
        <v>0</v>
      </c>
      <c r="N21" s="21"/>
      <c r="O21" s="21"/>
      <c r="P21" s="21"/>
      <c r="Q21" s="21"/>
      <c r="R21" s="21"/>
      <c r="S21" s="21"/>
    </row>
    <row r="22" spans="2:19" ht="15.75">
      <c r="B22" s="11">
        <v>6</v>
      </c>
      <c r="C22" s="37"/>
      <c r="D22" s="5">
        <v>2</v>
      </c>
      <c r="E22" s="5">
        <v>2</v>
      </c>
      <c r="F22" s="5">
        <v>2</v>
      </c>
      <c r="G22" s="2">
        <f>AVERAGE(Table2[[#This Row],[Negative Emotion]:[Opposes Intention]])</f>
        <v>2</v>
      </c>
      <c r="H22" s="6"/>
      <c r="I22" s="3"/>
      <c r="J22" s="3"/>
      <c r="K22" s="21"/>
      <c r="L22" s="21"/>
      <c r="M22" s="21"/>
      <c r="N22" s="21"/>
      <c r="O22" s="21"/>
      <c r="P22" s="21"/>
      <c r="Q22" s="21"/>
      <c r="R22" s="21"/>
      <c r="S22" s="21"/>
    </row>
    <row r="23" spans="2:19" ht="15.75">
      <c r="B23" s="11">
        <v>7</v>
      </c>
      <c r="C23" s="12"/>
      <c r="D23" s="5">
        <v>2</v>
      </c>
      <c r="E23" s="5">
        <v>2</v>
      </c>
      <c r="F23" s="5">
        <v>2</v>
      </c>
      <c r="G23" s="2">
        <f>AVERAGE(Table2[[#This Row],[Negative Emotion]:[Opposes Intention]])</f>
        <v>2</v>
      </c>
      <c r="H23" s="6"/>
      <c r="I23" s="3"/>
      <c r="J23" s="3"/>
      <c r="K23" s="21"/>
      <c r="L23" s="21"/>
      <c r="M23" s="21"/>
      <c r="N23" s="21"/>
      <c r="O23" s="21"/>
      <c r="P23" s="21"/>
      <c r="Q23" s="21"/>
      <c r="R23" s="21"/>
      <c r="S23" s="21"/>
    </row>
    <row r="24" spans="2:19" ht="15.75">
      <c r="B24" s="11">
        <v>8</v>
      </c>
      <c r="C24" s="12"/>
      <c r="D24" s="5">
        <v>2</v>
      </c>
      <c r="E24" s="5">
        <v>2</v>
      </c>
      <c r="F24" s="5">
        <v>2</v>
      </c>
      <c r="G24" s="2">
        <f>AVERAGE(Table2[[#This Row],[Negative Emotion]:[Opposes Intention]])</f>
        <v>2</v>
      </c>
      <c r="H24" s="6"/>
      <c r="I24" s="3"/>
      <c r="J24" s="3"/>
      <c r="K24" s="21"/>
      <c r="L24" s="21"/>
      <c r="M24" s="21"/>
      <c r="N24" s="21"/>
      <c r="O24" s="21"/>
      <c r="P24" s="21"/>
      <c r="Q24" s="21"/>
      <c r="R24" s="21"/>
      <c r="S24" s="21"/>
    </row>
    <row r="25" spans="2:19" ht="15.75">
      <c r="B25" s="11">
        <v>9</v>
      </c>
      <c r="C25" s="12"/>
      <c r="D25" s="5">
        <v>0</v>
      </c>
      <c r="E25" s="5">
        <v>0</v>
      </c>
      <c r="F25" s="5">
        <v>0</v>
      </c>
      <c r="G25" s="2">
        <f>AVERAGE(Table2[[#This Row],[Negative Emotion]:[Opposes Intention]])</f>
        <v>0</v>
      </c>
      <c r="H25" s="6"/>
      <c r="I25" s="3"/>
      <c r="J25" s="3"/>
      <c r="K25" s="21"/>
      <c r="L25" s="21"/>
      <c r="M25" s="21"/>
      <c r="N25" s="21"/>
      <c r="O25" s="21"/>
      <c r="P25" s="21"/>
      <c r="Q25" s="21"/>
      <c r="R25" s="21"/>
      <c r="S25" s="21"/>
    </row>
    <row r="26" spans="2:19" ht="15.75">
      <c r="B26" s="11"/>
      <c r="C26" s="12"/>
      <c r="D26" s="5">
        <v>0</v>
      </c>
      <c r="E26" s="5">
        <v>0</v>
      </c>
      <c r="F26" s="5">
        <v>0</v>
      </c>
      <c r="G26" s="2">
        <f>AVERAGE(Table2[[#This Row],[Negative Emotion]:[Opposes Intention]])</f>
        <v>0</v>
      </c>
      <c r="H26" s="6"/>
      <c r="I26" s="3"/>
      <c r="J26" s="3"/>
      <c r="K26" s="21"/>
      <c r="L26" s="21"/>
      <c r="M26" s="21"/>
      <c r="N26" s="21"/>
      <c r="O26" s="21"/>
      <c r="P26" s="21"/>
      <c r="Q26" s="21"/>
      <c r="R26" s="21"/>
      <c r="S26" s="21"/>
    </row>
    <row r="27" spans="2:19" ht="15.75">
      <c r="B27" s="11"/>
      <c r="C27" s="12"/>
      <c r="D27" s="5">
        <v>0</v>
      </c>
      <c r="E27" s="5">
        <v>0</v>
      </c>
      <c r="F27" s="5">
        <v>0</v>
      </c>
      <c r="G27" s="2">
        <f>AVERAGE(Table2[[#This Row],[Negative Emotion]:[Opposes Intention]])</f>
        <v>0</v>
      </c>
      <c r="H27" s="6"/>
      <c r="I27" s="3"/>
      <c r="J27" s="3"/>
      <c r="K27" s="21"/>
      <c r="L27" s="21"/>
      <c r="M27" s="21"/>
      <c r="N27" s="21"/>
      <c r="O27" s="21"/>
      <c r="P27" s="21"/>
      <c r="Q27" s="21"/>
      <c r="R27" s="21"/>
      <c r="S27" s="21"/>
    </row>
    <row r="28" spans="2:19" ht="15.75">
      <c r="B28" s="11"/>
      <c r="C28" s="12"/>
      <c r="D28" s="5">
        <v>0</v>
      </c>
      <c r="E28" s="5">
        <v>0</v>
      </c>
      <c r="F28" s="5">
        <v>0</v>
      </c>
      <c r="G28" s="2">
        <f>AVERAGE(Table2[[#This Row],[Negative Emotion]:[Opposes Intention]])</f>
        <v>0</v>
      </c>
      <c r="H28" s="6"/>
      <c r="I28" s="3"/>
      <c r="J28" s="3"/>
      <c r="K28" s="21"/>
      <c r="L28" s="21"/>
      <c r="M28" s="21"/>
      <c r="N28" s="21"/>
      <c r="O28" s="21"/>
      <c r="P28" s="21"/>
      <c r="Q28" s="21"/>
      <c r="R28" s="21"/>
      <c r="S28" s="21"/>
    </row>
    <row r="29" spans="2:19" ht="15.75">
      <c r="B29" s="11"/>
      <c r="C29" s="12"/>
      <c r="D29" s="5">
        <v>0</v>
      </c>
      <c r="E29" s="5">
        <v>0</v>
      </c>
      <c r="F29" s="5">
        <v>0</v>
      </c>
      <c r="G29" s="2">
        <f>AVERAGE(Table2[[#This Row],[Negative Emotion]:[Opposes Intention]])</f>
        <v>0</v>
      </c>
      <c r="H29" s="6"/>
      <c r="I29" s="3"/>
      <c r="J29" s="3"/>
      <c r="K29" s="21"/>
      <c r="L29" s="21"/>
      <c r="M29" s="21"/>
      <c r="N29" s="21"/>
      <c r="O29" s="21"/>
      <c r="P29" s="21"/>
      <c r="Q29" s="21"/>
      <c r="R29" s="21"/>
      <c r="S29" s="21"/>
    </row>
    <row r="30" spans="2:19" ht="15.75">
      <c r="B30" s="11"/>
      <c r="C30" s="12"/>
      <c r="D30" s="5">
        <v>0</v>
      </c>
      <c r="E30" s="5">
        <v>0</v>
      </c>
      <c r="F30" s="5">
        <v>0</v>
      </c>
      <c r="G30" s="2">
        <f>AVERAGE(Table2[[#This Row],[Negative Emotion]:[Opposes Intention]])</f>
        <v>0</v>
      </c>
      <c r="H30" s="6"/>
      <c r="I30" s="3"/>
      <c r="J30" s="3"/>
      <c r="K30" s="21"/>
      <c r="L30" s="21"/>
      <c r="M30" s="21"/>
      <c r="N30" s="21"/>
      <c r="O30" s="21"/>
      <c r="P30" s="21"/>
      <c r="Q30" s="21"/>
      <c r="R30" s="21"/>
      <c r="S30" s="21"/>
    </row>
    <row r="31" spans="2:19" ht="15.75">
      <c r="B31" s="11"/>
      <c r="C31" s="12"/>
      <c r="D31" s="5">
        <v>0</v>
      </c>
      <c r="E31" s="5">
        <v>0</v>
      </c>
      <c r="F31" s="5">
        <v>0</v>
      </c>
      <c r="G31" s="2">
        <f>AVERAGE(Table2[[#This Row],[Negative Emotion]:[Opposes Intention]])</f>
        <v>0</v>
      </c>
      <c r="H31" s="6"/>
      <c r="I31" s="3"/>
      <c r="J31" s="3"/>
      <c r="K31" s="21"/>
      <c r="L31" s="21"/>
      <c r="M31" s="21"/>
      <c r="N31" s="21"/>
      <c r="O31" s="21"/>
      <c r="P31" s="21"/>
      <c r="Q31" s="21"/>
      <c r="R31" s="21"/>
      <c r="S31" s="21"/>
    </row>
    <row r="32" spans="2:19" ht="15.75">
      <c r="B32" s="11"/>
      <c r="C32" s="12"/>
      <c r="D32" s="5">
        <v>0</v>
      </c>
      <c r="E32" s="5">
        <v>0</v>
      </c>
      <c r="F32" s="5">
        <v>0</v>
      </c>
      <c r="G32" s="2">
        <f>AVERAGE(Table2[[#This Row],[Negative Emotion]:[Opposes Intention]])</f>
        <v>0</v>
      </c>
      <c r="H32" s="6"/>
      <c r="I32" s="3"/>
      <c r="J32" s="3"/>
      <c r="K32" s="21"/>
      <c r="L32" s="21"/>
      <c r="M32" s="21"/>
      <c r="N32" s="21"/>
      <c r="O32" s="21"/>
      <c r="P32" s="21"/>
      <c r="Q32" s="21"/>
      <c r="R32" s="21"/>
      <c r="S32" s="21"/>
    </row>
    <row r="33" spans="2:19" ht="15.75">
      <c r="B33" s="11"/>
      <c r="C33" s="24"/>
      <c r="D33" s="5">
        <v>0</v>
      </c>
      <c r="E33" s="5">
        <v>0</v>
      </c>
      <c r="F33" s="5">
        <v>0</v>
      </c>
      <c r="G33" s="2">
        <f>AVERAGE(Table2[[#This Row],[Negative Emotion]:[Opposes Intention]])</f>
        <v>0</v>
      </c>
      <c r="H33" s="6"/>
      <c r="K33" s="21"/>
      <c r="L33" s="21"/>
      <c r="M33" s="21"/>
      <c r="N33" s="21"/>
      <c r="O33" s="21"/>
      <c r="P33" s="21"/>
      <c r="Q33" s="21"/>
      <c r="R33" s="21"/>
      <c r="S33" s="21"/>
    </row>
    <row r="34" spans="2:19" ht="15.75">
      <c r="B34" s="11"/>
      <c r="C34" s="24" t="s">
        <v>36</v>
      </c>
      <c r="D34" s="5">
        <v>0</v>
      </c>
      <c r="E34" s="5">
        <v>0</v>
      </c>
      <c r="F34" s="5">
        <v>0</v>
      </c>
      <c r="G34" s="2">
        <f>AVERAGE(Table2[[#This Row],[Negative Emotion]:[Opposes Intention]])</f>
        <v>0</v>
      </c>
      <c r="H34" s="6"/>
      <c r="K34" s="21"/>
      <c r="L34" s="21"/>
      <c r="M34" s="21"/>
      <c r="N34" s="21"/>
      <c r="O34" s="21"/>
      <c r="P34" s="21"/>
      <c r="Q34" s="21"/>
      <c r="R34" s="21"/>
      <c r="S34" s="21"/>
    </row>
    <row r="35" spans="2:19" ht="15.75">
      <c r="B35" s="11"/>
      <c r="C35" s="12"/>
      <c r="D35" s="5">
        <v>0</v>
      </c>
      <c r="E35" s="5">
        <v>0</v>
      </c>
      <c r="F35" s="5">
        <v>0</v>
      </c>
      <c r="G35" s="2">
        <f>AVERAGE(Table2[[#This Row],[Negative Emotion]:[Opposes Intention]])</f>
        <v>0</v>
      </c>
      <c r="H35" s="6"/>
      <c r="K35" s="21"/>
      <c r="L35" s="21"/>
      <c r="M35" s="21"/>
      <c r="N35" s="21"/>
      <c r="O35" s="21"/>
      <c r="P35" s="21"/>
      <c r="Q35" s="21"/>
      <c r="R35" s="21"/>
      <c r="S35" s="21"/>
    </row>
    <row r="36" spans="2:19" ht="15.75">
      <c r="B36" s="11"/>
      <c r="C36" s="24" t="s">
        <v>37</v>
      </c>
      <c r="D36" s="5">
        <v>0</v>
      </c>
      <c r="E36" s="5">
        <v>0</v>
      </c>
      <c r="F36" s="5">
        <v>0</v>
      </c>
      <c r="G36" s="2">
        <f>AVERAGE(Table2[[#This Row],[Negative Emotion]:[Opposes Intention]])</f>
        <v>0</v>
      </c>
      <c r="H36" s="6"/>
      <c r="K36" s="21"/>
      <c r="L36" s="21"/>
      <c r="M36" s="21"/>
      <c r="N36" s="21"/>
      <c r="O36" s="21"/>
      <c r="P36" s="21"/>
      <c r="Q36" s="21"/>
      <c r="R36" s="21"/>
      <c r="S36" s="21"/>
    </row>
    <row r="37" spans="2:19" ht="15.75">
      <c r="B37" s="11"/>
      <c r="C37" s="12"/>
      <c r="D37" s="5">
        <v>0</v>
      </c>
      <c r="E37" s="5">
        <v>0</v>
      </c>
      <c r="F37" s="5">
        <v>0</v>
      </c>
      <c r="G37" s="2">
        <f>AVERAGE(Table2[[#This Row],[Negative Emotion]:[Opposes Intention]])</f>
        <v>0</v>
      </c>
      <c r="H37" s="6"/>
      <c r="K37" s="21"/>
      <c r="L37" s="21"/>
      <c r="M37" s="21"/>
      <c r="N37" s="21"/>
      <c r="O37" s="21"/>
      <c r="P37" s="21"/>
      <c r="Q37" s="21"/>
      <c r="R37" s="21"/>
      <c r="S37" s="21"/>
    </row>
    <row r="38" spans="2:19" ht="15.75">
      <c r="B38" s="11"/>
      <c r="C38" s="12"/>
      <c r="D38" s="5">
        <v>0</v>
      </c>
      <c r="E38" s="5">
        <v>0</v>
      </c>
      <c r="F38" s="5">
        <v>0</v>
      </c>
      <c r="G38" s="2">
        <f>AVERAGE(Table2[[#This Row],[Negative Emotion]:[Opposes Intention]])</f>
        <v>0</v>
      </c>
      <c r="H38" s="6"/>
      <c r="K38" s="21"/>
      <c r="L38" s="21"/>
      <c r="M38" s="21"/>
      <c r="N38" s="21"/>
      <c r="O38" s="21"/>
      <c r="P38" s="21"/>
      <c r="Q38" s="21"/>
      <c r="R38" s="21"/>
      <c r="S38" s="21"/>
    </row>
    <row r="39" spans="2:19" ht="15.75">
      <c r="B39" s="11"/>
      <c r="C39" s="12"/>
      <c r="D39" s="5">
        <v>0</v>
      </c>
      <c r="E39" s="5">
        <v>0</v>
      </c>
      <c r="F39" s="5">
        <v>0</v>
      </c>
      <c r="G39" s="2">
        <f>AVERAGE(Table2[[#This Row],[Negative Emotion]:[Opposes Intention]])</f>
        <v>0</v>
      </c>
      <c r="H39" s="6"/>
      <c r="K39" s="21"/>
      <c r="L39" s="21"/>
      <c r="M39" s="21"/>
      <c r="N39" s="21"/>
      <c r="O39" s="21"/>
      <c r="P39" s="21"/>
      <c r="Q39" s="21"/>
      <c r="R39" s="21"/>
      <c r="S39" s="21"/>
    </row>
    <row r="40" spans="2:19" ht="15.75">
      <c r="B40" s="11"/>
      <c r="C40" s="12"/>
      <c r="D40" s="5">
        <v>0</v>
      </c>
      <c r="E40" s="5">
        <v>0</v>
      </c>
      <c r="F40" s="5">
        <v>0</v>
      </c>
      <c r="G40" s="2">
        <f>AVERAGE(Table2[[#This Row],[Negative Emotion]:[Opposes Intention]])</f>
        <v>0</v>
      </c>
      <c r="H40" s="6"/>
      <c r="K40" s="21"/>
      <c r="L40" s="21"/>
      <c r="M40" s="21"/>
      <c r="N40" s="21"/>
      <c r="O40" s="21"/>
      <c r="P40" s="21"/>
      <c r="Q40" s="21"/>
      <c r="R40" s="21"/>
      <c r="S40" s="21"/>
    </row>
    <row r="41" spans="2:19" ht="15.75">
      <c r="B41" s="11"/>
      <c r="C41" s="12"/>
      <c r="D41" s="5">
        <v>0</v>
      </c>
      <c r="E41" s="5">
        <v>0</v>
      </c>
      <c r="F41" s="5">
        <v>0</v>
      </c>
      <c r="G41" s="2">
        <f>AVERAGE(Table2[[#This Row],[Negative Emotion]:[Opposes Intention]])</f>
        <v>0</v>
      </c>
      <c r="H41" s="6"/>
      <c r="K41" s="21"/>
      <c r="L41" s="21"/>
      <c r="M41" s="21"/>
      <c r="N41" s="21"/>
      <c r="O41" s="21"/>
      <c r="P41" s="21"/>
      <c r="Q41" s="21"/>
      <c r="R41" s="21"/>
      <c r="S41" s="21"/>
    </row>
    <row r="42" spans="2:19" ht="15.75">
      <c r="B42" s="11"/>
      <c r="C42" s="12"/>
      <c r="D42" s="5">
        <v>0</v>
      </c>
      <c r="E42" s="5">
        <v>0</v>
      </c>
      <c r="F42" s="5">
        <v>0</v>
      </c>
      <c r="G42" s="2">
        <f>AVERAGE(Table2[[#This Row],[Negative Emotion]:[Opposes Intention]])</f>
        <v>0</v>
      </c>
      <c r="H42" s="6"/>
      <c r="K42" s="21"/>
      <c r="L42" s="21"/>
      <c r="M42" s="21"/>
      <c r="N42" s="21"/>
      <c r="O42" s="21"/>
      <c r="P42" s="21"/>
      <c r="Q42" s="21"/>
      <c r="R42" s="21"/>
      <c r="S42" s="21"/>
    </row>
    <row r="43" spans="2:19" ht="15.75">
      <c r="B43" s="11"/>
      <c r="C43" s="12"/>
      <c r="D43" s="5">
        <v>0</v>
      </c>
      <c r="E43" s="5">
        <v>0</v>
      </c>
      <c r="F43" s="5">
        <v>0</v>
      </c>
      <c r="G43" s="2">
        <f>AVERAGE(Table2[[#This Row],[Negative Emotion]:[Opposes Intention]])</f>
        <v>0</v>
      </c>
      <c r="H43" s="6"/>
      <c r="K43" s="21"/>
      <c r="L43" s="21"/>
      <c r="M43" s="21"/>
      <c r="N43" s="21"/>
      <c r="O43" s="21"/>
      <c r="P43" s="21"/>
      <c r="Q43" s="21"/>
      <c r="R43" s="21"/>
      <c r="S43" s="21"/>
    </row>
    <row r="44" spans="2:19" ht="15.75">
      <c r="B44" s="11"/>
      <c r="C44" s="12"/>
      <c r="D44" s="5">
        <v>0</v>
      </c>
      <c r="E44" s="5">
        <v>0</v>
      </c>
      <c r="F44" s="5">
        <v>0</v>
      </c>
      <c r="G44" s="2">
        <f>AVERAGE(Table2[[#This Row],[Negative Emotion]:[Opposes Intention]])</f>
        <v>0</v>
      </c>
      <c r="H44" s="6"/>
      <c r="K44" s="21"/>
      <c r="L44" s="21"/>
      <c r="M44" s="21"/>
      <c r="N44" s="21"/>
      <c r="O44" s="21"/>
      <c r="P44" s="21"/>
      <c r="Q44" s="21"/>
      <c r="R44" s="21"/>
      <c r="S44" s="21"/>
    </row>
    <row r="45" spans="2:19" ht="15.75">
      <c r="B45" s="11"/>
      <c r="C45" s="12"/>
      <c r="D45" s="5">
        <v>0</v>
      </c>
      <c r="E45" s="5">
        <v>0</v>
      </c>
      <c r="F45" s="5">
        <v>0</v>
      </c>
      <c r="G45" s="2">
        <f>AVERAGE(Table2[[#This Row],[Negative Emotion]:[Opposes Intention]])</f>
        <v>0</v>
      </c>
      <c r="H45" s="6"/>
      <c r="K45" s="21"/>
      <c r="L45" s="21"/>
      <c r="M45" s="21"/>
      <c r="N45" s="21"/>
      <c r="O45" s="21"/>
      <c r="P45" s="21"/>
      <c r="Q45" s="21"/>
      <c r="R45" s="21"/>
      <c r="S45" s="21"/>
    </row>
    <row r="46" spans="2:19" ht="15.75">
      <c r="B46" s="11"/>
      <c r="C46" s="12"/>
      <c r="D46" s="5">
        <v>0</v>
      </c>
      <c r="E46" s="5">
        <v>0</v>
      </c>
      <c r="F46" s="5">
        <v>0</v>
      </c>
      <c r="G46" s="2">
        <f>AVERAGE(Table2[[#This Row],[Negative Emotion]:[Opposes Intention]])</f>
        <v>0</v>
      </c>
      <c r="H46" s="6"/>
      <c r="K46" s="21"/>
      <c r="L46" s="21"/>
      <c r="M46" s="21"/>
      <c r="N46" s="21"/>
      <c r="O46" s="21"/>
      <c r="P46" s="21"/>
      <c r="Q46" s="21"/>
      <c r="R46" s="21"/>
      <c r="S46" s="21"/>
    </row>
    <row r="47" spans="2:19" ht="15.75">
      <c r="B47" s="11"/>
      <c r="C47" s="12"/>
      <c r="D47" s="5">
        <v>0</v>
      </c>
      <c r="E47" s="5">
        <v>0</v>
      </c>
      <c r="F47" s="5">
        <v>0</v>
      </c>
      <c r="G47" s="2">
        <f>AVERAGE(Table2[[#This Row],[Negative Emotion]:[Opposes Intention]])</f>
        <v>0</v>
      </c>
      <c r="H47" s="6"/>
      <c r="K47" s="21"/>
      <c r="L47" s="21"/>
      <c r="M47" s="21"/>
      <c r="N47" s="21"/>
      <c r="O47" s="21"/>
      <c r="P47" s="21"/>
      <c r="Q47" s="21"/>
      <c r="R47" s="21"/>
      <c r="S47" s="21"/>
    </row>
    <row r="48" spans="2:19" ht="15.75">
      <c r="B48" s="11"/>
      <c r="C48" s="12"/>
      <c r="D48" s="5">
        <v>0</v>
      </c>
      <c r="E48" s="5">
        <v>0</v>
      </c>
      <c r="F48" s="5">
        <v>0</v>
      </c>
      <c r="G48" s="2">
        <f>AVERAGE(Table2[[#This Row],[Negative Emotion]:[Opposes Intention]])</f>
        <v>0</v>
      </c>
      <c r="H48" s="6"/>
    </row>
    <row r="49" spans="2:8">
      <c r="B49" s="11"/>
      <c r="C49" s="4"/>
      <c r="D49" s="5">
        <v>0</v>
      </c>
      <c r="E49" s="5">
        <v>0</v>
      </c>
      <c r="F49" s="5">
        <v>0</v>
      </c>
      <c r="G49" s="2">
        <f>AVERAGE(Table2[[#This Row],[Negative Emotion]:[Opposes Intention]])</f>
        <v>0</v>
      </c>
      <c r="H49" s="6"/>
    </row>
    <row r="50" spans="2:8">
      <c r="B50" s="11"/>
      <c r="C50" s="4"/>
      <c r="D50" s="5">
        <v>0</v>
      </c>
      <c r="E50" s="5">
        <v>0</v>
      </c>
      <c r="F50" s="5">
        <v>0</v>
      </c>
      <c r="G50" s="2">
        <f>AVERAGE(Table2[[#This Row],[Negative Emotion]:[Opposes Intention]])</f>
        <v>0</v>
      </c>
      <c r="H50" s="6"/>
    </row>
    <row r="51" spans="2:8">
      <c r="B51" s="11"/>
      <c r="C51" s="4"/>
      <c r="D51" s="5">
        <v>0</v>
      </c>
      <c r="E51" s="5">
        <v>0</v>
      </c>
      <c r="F51" s="5">
        <v>0</v>
      </c>
      <c r="G51" s="2">
        <f>AVERAGE(Table2[[#This Row],[Negative Emotion]:[Opposes Intention]])</f>
        <v>0</v>
      </c>
      <c r="H51" s="6"/>
    </row>
    <row r="52" spans="2:8">
      <c r="B52" s="11"/>
      <c r="C52" s="4"/>
      <c r="D52" s="5">
        <v>0</v>
      </c>
      <c r="E52" s="5">
        <v>0</v>
      </c>
      <c r="F52" s="5">
        <v>0</v>
      </c>
      <c r="G52" s="2">
        <f>AVERAGE(Table2[[#This Row],[Negative Emotion]:[Opposes Intention]])</f>
        <v>0</v>
      </c>
      <c r="H52" s="6"/>
    </row>
    <row r="53" spans="2:8">
      <c r="B53" s="11"/>
      <c r="C53" s="4"/>
      <c r="D53" s="5">
        <v>0</v>
      </c>
      <c r="E53" s="5">
        <v>0</v>
      </c>
      <c r="F53" s="5">
        <v>0</v>
      </c>
      <c r="G53" s="2">
        <f>AVERAGE(Table2[[#This Row],[Negative Emotion]:[Opposes Intention]])</f>
        <v>0</v>
      </c>
      <c r="H53" s="6"/>
    </row>
    <row r="54" spans="2:8">
      <c r="B54" s="11"/>
      <c r="C54" s="4"/>
      <c r="D54" s="5">
        <v>0</v>
      </c>
      <c r="E54" s="5">
        <v>0</v>
      </c>
      <c r="F54" s="5">
        <v>0</v>
      </c>
      <c r="G54" s="2">
        <f>AVERAGE(Table2[[#This Row],[Negative Emotion]:[Opposes Intention]])</f>
        <v>0</v>
      </c>
      <c r="H54" s="6"/>
    </row>
    <row r="55" spans="2:8">
      <c r="B55" s="11"/>
      <c r="C55" s="4"/>
      <c r="D55" s="5">
        <v>0</v>
      </c>
      <c r="E55" s="5">
        <v>0</v>
      </c>
      <c r="F55" s="5">
        <v>0</v>
      </c>
      <c r="G55" s="2">
        <f>AVERAGE(Table2[[#This Row],[Negative Emotion]:[Opposes Intention]])</f>
        <v>0</v>
      </c>
      <c r="H55" s="6"/>
    </row>
    <row r="56" spans="2:8">
      <c r="B56" s="11"/>
      <c r="C56" s="4"/>
      <c r="D56" s="5">
        <v>0</v>
      </c>
      <c r="E56" s="5">
        <v>0</v>
      </c>
      <c r="F56" s="5">
        <v>0</v>
      </c>
      <c r="G56" s="2">
        <f>AVERAGE(Table2[[#This Row],[Negative Emotion]:[Opposes Intention]])</f>
        <v>0</v>
      </c>
      <c r="H56" s="6"/>
    </row>
    <row r="57" spans="2:8">
      <c r="B57" s="11"/>
      <c r="C57" s="4"/>
      <c r="D57" s="5">
        <v>0</v>
      </c>
      <c r="E57" s="5">
        <v>0</v>
      </c>
      <c r="F57" s="5">
        <v>0</v>
      </c>
      <c r="G57" s="2">
        <f>AVERAGE(Table2[[#This Row],[Negative Emotion]:[Opposes Intention]])</f>
        <v>0</v>
      </c>
      <c r="H57" s="6"/>
    </row>
    <row r="58" spans="2:8">
      <c r="B58" s="11"/>
      <c r="C58" s="4"/>
      <c r="D58" s="5">
        <v>0</v>
      </c>
      <c r="E58" s="5">
        <v>0</v>
      </c>
      <c r="F58" s="5">
        <v>0</v>
      </c>
      <c r="G58" s="2">
        <f>AVERAGE(Table2[[#This Row],[Negative Emotion]:[Opposes Intention]])</f>
        <v>0</v>
      </c>
      <c r="H58" s="6"/>
    </row>
  </sheetData>
  <sheetProtection insertRows="0" deleteRows="0"/>
  <mergeCells count="6">
    <mergeCell ref="C11:C14"/>
    <mergeCell ref="D5:J5"/>
    <mergeCell ref="D6:J6"/>
    <mergeCell ref="D7:J7"/>
    <mergeCell ref="D8:J8"/>
    <mergeCell ref="D9:J9"/>
  </mergeCells>
  <conditionalFormatting sqref="E11:E13">
    <cfRule type="iconSet" priority="7">
      <iconSet iconSet="4RedToBlack" showValue="0">
        <cfvo type="percent" val="0"/>
        <cfvo type="num" val="0" gte="0"/>
        <cfvo type="num" val="1" gte="0"/>
        <cfvo type="num" val="3"/>
      </iconSet>
    </cfRule>
  </conditionalFormatting>
  <conditionalFormatting sqref="E14">
    <cfRule type="iconSet" priority="5">
      <iconSet iconSet="4RedToBlack" showValue="0">
        <cfvo type="percent" val="0"/>
        <cfvo type="num" val="0" gte="0"/>
        <cfvo type="num" val="1" gte="0"/>
        <cfvo type="num" val="3"/>
      </iconSet>
    </cfRule>
  </conditionalFormatting>
  <conditionalFormatting sqref="I4">
    <cfRule type="iconSet" priority="11">
      <iconSet iconSet="4RedToBlack" showValue="0">
        <cfvo type="percent" val="0"/>
        <cfvo type="num" val="0" gte="0"/>
        <cfvo type="num" val="1" gte="0"/>
        <cfvo type="num" val="3"/>
      </iconSet>
    </cfRule>
  </conditionalFormatting>
  <dataValidations count="1">
    <dataValidation type="list" showInputMessage="1" showErrorMessage="1" sqref="D17:F58" xr:uid="{00000000-0002-0000-0200-000000000000}">
      <formula1>$M$18:$M$22</formula1>
    </dataValidation>
  </dataValidations>
  <pageMargins left="0.7" right="0.7" top="0.75" bottom="0.75" header="0.3" footer="0.3"/>
  <pageSetup orientation="portrait" r:id="rId1"/>
  <drawing r:id="rId2"/>
  <legacy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x14:cfRule type="iconSet" priority="10" id="{00000000-000E-0000-0000-000003000000}">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D26:F58</xm:sqref>
        </x14:conditionalFormatting>
        <x14:conditionalFormatting xmlns:xm="http://schemas.microsoft.com/office/excel/2006/main">
          <x14:cfRule type="iconSet" priority="4" id="{06EE0F31-98A5-417E-959E-EA371CF531E9}">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D11:D14</xm:sqref>
        </x14:conditionalFormatting>
        <x14:conditionalFormatting xmlns:xm="http://schemas.microsoft.com/office/excel/2006/main">
          <x14:cfRule type="iconSet" priority="2" id="{97541508-06F2-422F-9F13-7F894A345CC6}">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D17:G17 D20 D21:F25 D18:F19 G18:G58</xm:sqref>
        </x14:conditionalFormatting>
        <x14:conditionalFormatting xmlns:xm="http://schemas.microsoft.com/office/excel/2006/main">
          <x14:cfRule type="iconSet" priority="1" id="{F18DAAE1-A551-4044-8BFD-89F12B388BE4}">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E20:F20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M32"/>
  <sheetViews>
    <sheetView tabSelected="1" topLeftCell="C1" zoomScale="115" zoomScaleNormal="115" workbookViewId="0">
      <selection activeCell="I10" sqref="I10"/>
    </sheetView>
  </sheetViews>
  <sheetFormatPr defaultRowHeight="15"/>
  <cols>
    <col min="2" max="2" width="17.7109375" customWidth="1"/>
    <col min="3" max="3" width="61.5703125" customWidth="1"/>
    <col min="6" max="6" width="30.140625" bestFit="1" customWidth="1"/>
    <col min="7" max="7" width="13.5703125" customWidth="1"/>
    <col min="9" max="9" width="20.7109375" customWidth="1"/>
  </cols>
  <sheetData>
    <row r="1" spans="2:13" ht="15.75" thickBot="1"/>
    <row r="2" spans="2:13" ht="15.75">
      <c r="B2" s="38" t="s">
        <v>20</v>
      </c>
      <c r="C2" s="59"/>
      <c r="E2" s="87" t="s">
        <v>38</v>
      </c>
      <c r="F2" s="87"/>
      <c r="G2" s="87"/>
      <c r="H2" s="87"/>
      <c r="I2" s="87"/>
      <c r="J2" s="87"/>
    </row>
    <row r="3" spans="2:13" ht="15.75">
      <c r="B3" s="38" t="s">
        <v>39</v>
      </c>
      <c r="C3" s="73"/>
      <c r="D3" s="74"/>
      <c r="E3" s="74"/>
      <c r="F3" s="74"/>
      <c r="G3" s="74"/>
      <c r="H3" s="74"/>
      <c r="I3" s="74"/>
      <c r="J3" s="74"/>
    </row>
    <row r="4" spans="2:13" s="64" customFormat="1" ht="54.75" customHeight="1">
      <c r="B4" s="63" t="s">
        <v>40</v>
      </c>
      <c r="C4" s="67"/>
      <c r="E4" s="88" t="s">
        <v>41</v>
      </c>
      <c r="F4" s="88"/>
      <c r="G4" s="88"/>
      <c r="H4" s="88"/>
      <c r="I4" s="88"/>
      <c r="J4" s="88"/>
      <c r="K4"/>
      <c r="L4"/>
      <c r="M4"/>
    </row>
    <row r="5" spans="2:13">
      <c r="G5" s="60"/>
      <c r="H5" s="60"/>
      <c r="I5" s="60"/>
      <c r="J5" s="60"/>
      <c r="K5" s="60"/>
      <c r="L5" s="60"/>
      <c r="M5" s="60"/>
    </row>
    <row r="6" spans="2:13" ht="15.75">
      <c r="B6" s="40" t="s">
        <v>6</v>
      </c>
      <c r="C6" s="40" t="s">
        <v>42</v>
      </c>
      <c r="F6" s="68" t="s">
        <v>43</v>
      </c>
    </row>
    <row r="7" spans="2:13">
      <c r="B7">
        <v>1</v>
      </c>
      <c r="F7" s="38" t="s">
        <v>44</v>
      </c>
      <c r="G7" s="69"/>
    </row>
    <row r="8" spans="2:13">
      <c r="B8">
        <v>2</v>
      </c>
      <c r="F8" s="38" t="s">
        <v>45</v>
      </c>
      <c r="G8" s="69"/>
      <c r="I8" s="61" t="s">
        <v>46</v>
      </c>
      <c r="J8" s="70">
        <f>G7-G8</f>
        <v>0</v>
      </c>
    </row>
    <row r="9" spans="2:13">
      <c r="B9">
        <v>3</v>
      </c>
      <c r="F9" s="38" t="s">
        <v>47</v>
      </c>
      <c r="G9" s="69"/>
      <c r="I9" s="61" t="s">
        <v>48</v>
      </c>
      <c r="J9" s="70">
        <f>G9*5</f>
        <v>0</v>
      </c>
    </row>
    <row r="10" spans="2:13">
      <c r="B10">
        <v>4</v>
      </c>
      <c r="F10" s="38" t="s">
        <v>49</v>
      </c>
      <c r="G10" s="69"/>
      <c r="I10" t="s">
        <v>50</v>
      </c>
      <c r="J10">
        <f>G9*G10*5</f>
        <v>0</v>
      </c>
    </row>
    <row r="11" spans="2:13">
      <c r="B11">
        <v>5</v>
      </c>
      <c r="F11" s="38" t="s">
        <v>51</v>
      </c>
      <c r="G11" s="71"/>
    </row>
    <row r="12" spans="2:13">
      <c r="B12">
        <v>6</v>
      </c>
      <c r="F12" t="s">
        <v>52</v>
      </c>
      <c r="G12" s="70">
        <f>(J8/60)*J9*52</f>
        <v>0</v>
      </c>
    </row>
    <row r="13" spans="2:13">
      <c r="B13">
        <v>7</v>
      </c>
    </row>
    <row r="14" spans="2:13">
      <c r="B14">
        <v>8</v>
      </c>
    </row>
    <row r="15" spans="2:13">
      <c r="B15">
        <v>9</v>
      </c>
    </row>
    <row r="16" spans="2:13">
      <c r="B16">
        <v>10</v>
      </c>
      <c r="F16" s="62" t="s">
        <v>53</v>
      </c>
      <c r="G16" s="72">
        <f>G12*G11</f>
        <v>0</v>
      </c>
    </row>
    <row r="17" spans="2:2">
      <c r="B17">
        <v>11</v>
      </c>
    </row>
    <row r="18" spans="2:2">
      <c r="B18">
        <v>12</v>
      </c>
    </row>
    <row r="19" spans="2:2">
      <c r="B19">
        <v>13</v>
      </c>
    </row>
    <row r="20" spans="2:2">
      <c r="B20">
        <v>14</v>
      </c>
    </row>
    <row r="21" spans="2:2">
      <c r="B21">
        <v>15</v>
      </c>
    </row>
    <row r="22" spans="2:2">
      <c r="B22">
        <v>16</v>
      </c>
    </row>
    <row r="23" spans="2:2">
      <c r="B23">
        <v>17</v>
      </c>
    </row>
    <row r="24" spans="2:2">
      <c r="B24">
        <v>18</v>
      </c>
    </row>
    <row r="25" spans="2:2">
      <c r="B25">
        <v>19</v>
      </c>
    </row>
    <row r="26" spans="2:2">
      <c r="B26">
        <v>20</v>
      </c>
    </row>
    <row r="27" spans="2:2">
      <c r="B27">
        <v>21</v>
      </c>
    </row>
    <row r="28" spans="2:2">
      <c r="B28">
        <v>22</v>
      </c>
    </row>
    <row r="29" spans="2:2">
      <c r="B29">
        <v>23</v>
      </c>
    </row>
    <row r="30" spans="2:2">
      <c r="B30">
        <v>24</v>
      </c>
    </row>
    <row r="31" spans="2:2">
      <c r="B31">
        <v>25</v>
      </c>
    </row>
    <row r="32" spans="2:2">
      <c r="B32">
        <v>26</v>
      </c>
    </row>
  </sheetData>
  <mergeCells count="2">
    <mergeCell ref="E2:J2"/>
    <mergeCell ref="E4:J4"/>
  </mergeCells>
  <dataValidations count="1">
    <dataValidation type="textLength" allowBlank="1" showInputMessage="1" showErrorMessage="1" sqref="G13:G14" xr:uid="{00000000-0002-0000-0300-000000000000}">
      <formula1>0</formula1>
      <formula2>0</formula2>
    </dataValidation>
  </dataValidations>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D2EB01ADEBCD64E83604B7604CB38E0" ma:contentTypeVersion="2" ma:contentTypeDescription="Create a new document." ma:contentTypeScope="" ma:versionID="b45dfdd9c33772f0095fce538aaf4764">
  <xsd:schema xmlns:xsd="http://www.w3.org/2001/XMLSchema" xmlns:xs="http://www.w3.org/2001/XMLSchema" xmlns:p="http://schemas.microsoft.com/office/2006/metadata/properties" xmlns:ns2="64b14699-a483-46cf-b5e1-dd3523746250" targetNamespace="http://schemas.microsoft.com/office/2006/metadata/properties" ma:root="true" ma:fieldsID="b8686f17cb7056e434a9775ce175ef02" ns2:_="">
    <xsd:import namespace="64b14699-a483-46cf-b5e1-dd352374625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b14699-a483-46cf-b5e1-dd35237462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2C9C475-2D3A-4345-933C-0523A17F31B7}"/>
</file>

<file path=customXml/itemProps2.xml><?xml version="1.0" encoding="utf-8"?>
<ds:datastoreItem xmlns:ds="http://schemas.openxmlformats.org/officeDocument/2006/customXml" ds:itemID="{ADC6CBCA-B428-47E4-A7D4-F71E2CD26F80}"/>
</file>

<file path=customXml/itemProps3.xml><?xml version="1.0" encoding="utf-8"?>
<ds:datastoreItem xmlns:ds="http://schemas.openxmlformats.org/officeDocument/2006/customXml" ds:itemID="{6192BB8D-B7B2-41A4-A249-0D2E1449376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Anandan Kumaran</dc:creator>
  <cp:keywords/>
  <dc:description/>
  <cp:lastModifiedBy>Mentor One</cp:lastModifiedBy>
  <cp:revision/>
  <dcterms:created xsi:type="dcterms:W3CDTF">2020-03-13T05:41:35Z</dcterms:created>
  <dcterms:modified xsi:type="dcterms:W3CDTF">2021-01-19T12:54:41Z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0x010100AD2EB01ADEBCD64E83604B7604CB38E0</vt:lpwstr>
  </property>
</Properties>
</file>