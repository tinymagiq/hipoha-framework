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0BD90C0D-6748-477E-9D10-1859F48CFA68}" xr6:coauthVersionLast="47" xr6:coauthVersionMax="47" xr10:uidLastSave="{00000000-0000-0000-0000-000000000000}"/>
  <bookViews>
    <workbookView xWindow="-23148" yWindow="-108" windowWidth="23256" windowHeight="12576" activeTab="2" xr2:uid="{B3A634E3-7B0D-49A1-AC45-20D6757FFE73}"/>
  </bookViews>
  <sheets>
    <sheet name="Overview" sheetId="15" r:id="rId1"/>
    <sheet name="PUX Restaurant Example - Cmd" sheetId="10" r:id="rId2"/>
    <sheet name="PUX IT Dev Example - Wiz" sheetId="1" r:id="rId3"/>
    <sheet name=" Identifiy your customer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" i="1" l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16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16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5E437AAD-79D5-4D56-A991-6DA29847AABF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<sst xmlns="http://schemas.openxmlformats.org/spreadsheetml/2006/main" count="118" uniqueCount="86">
  <si>
    <t>Comments</t>
  </si>
  <si>
    <t>Steps</t>
  </si>
  <si>
    <t>Ask for &amp; Pay the Check/Bill</t>
  </si>
  <si>
    <t>Give feedback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</si>
  <si>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</si>
  <si>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</si>
  <si>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</si>
  <si>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</si>
  <si>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</si>
  <si>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</si>
  <si>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</si>
  <si>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</si>
  <si>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</si>
  <si>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</si>
  <si>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</si>
  <si>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</si>
  <si>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</si>
  <si>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</si>
  <si>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</si>
  <si>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</si>
  <si>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</si>
  <si>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</si>
  <si>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</si>
  <si>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</si>
  <si>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</si>
  <si>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</si>
  <si>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</si>
  <si>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</si>
  <si>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</si>
  <si>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</si>
  <si>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</si>
  <si>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</si>
  <si>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/>
  </si>
  <si>
    <t>'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</si>
  <si>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</si>
  <si>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</si>
  <si>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</si>
  <si>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Application Maintenance</t>
  </si>
  <si>
    <t>Fixing Bugs</t>
  </si>
  <si>
    <t>Senior  Developer / Architect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</si>
  <si>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</si>
  <si>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</si>
  <si>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</si>
  <si>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</si>
  <si>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</si>
  <si>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</si>
  <si>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</si>
  <si>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</si>
  <si>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Document the solution on ADO</t>
  </si>
  <si>
    <t>Develop solution</t>
  </si>
  <si>
    <t>Test it</t>
  </si>
  <si>
    <t>Move to prod</t>
  </si>
  <si>
    <t>Dining in at a sit down restaurant</t>
  </si>
  <si>
    <t>S No</t>
  </si>
  <si>
    <t>Customer</t>
  </si>
  <si>
    <t>Short Desc</t>
  </si>
  <si>
    <t>How many?</t>
  </si>
  <si>
    <t>End User</t>
  </si>
  <si>
    <t>Business Ops</t>
  </si>
  <si>
    <t>IT Ops</t>
  </si>
  <si>
    <t>Project Manager</t>
  </si>
  <si>
    <t>Actual end user of solution</t>
  </si>
  <si>
    <t>People who manage the business</t>
  </si>
  <si>
    <t>IT team which manages operations</t>
  </si>
  <si>
    <t xml:space="preserve">INSTRUCTIONS TO FILL IN </t>
  </si>
  <si>
    <t>Step 1</t>
  </si>
  <si>
    <t>Step No</t>
  </si>
  <si>
    <t>Customer Journey Steps</t>
  </si>
  <si>
    <t>Step 2</t>
  </si>
  <si>
    <t>Step 3</t>
  </si>
  <si>
    <t>Step 4</t>
  </si>
  <si>
    <t>Step 5</t>
  </si>
  <si>
    <t>Step 6</t>
  </si>
  <si>
    <t>decide on the cuisine</t>
  </si>
  <si>
    <t>Look for restaurant.</t>
  </si>
  <si>
    <t>Fill in customer Journey steps in Column C</t>
  </si>
  <si>
    <t>Eat Dessert.</t>
  </si>
  <si>
    <t>Performance Undersupply Xray</t>
  </si>
  <si>
    <r>
      <t xml:space="preserve">The tool to discover the </t>
    </r>
    <r>
      <rPr>
        <b/>
        <sz val="11"/>
        <color theme="1"/>
        <rFont val="Calibri"/>
        <family val="2"/>
        <scheme val="minor"/>
      </rPr>
      <t xml:space="preserve">Trim Tab </t>
    </r>
    <r>
      <rPr>
        <sz val="11"/>
        <color theme="1"/>
        <rFont val="Calibri"/>
        <family val="2"/>
        <scheme val="minor"/>
      </rPr>
      <t>step in the customer journey.</t>
    </r>
  </si>
  <si>
    <t>There are 2 modes of using this tool</t>
  </si>
  <si>
    <t>Cmd mode</t>
  </si>
  <si>
    <t>Wiz mode</t>
  </si>
  <si>
    <t>In the wizard mode you can fill the customer journey guided my wizard</t>
  </si>
  <si>
    <t>All the attibutes are visible.</t>
  </si>
  <si>
    <t xml:space="preserve"> Click here to use command mode</t>
  </si>
  <si>
    <t xml:space="preserve"> Click here to use wizard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</si>
</sst>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sz val="12"/>
      <color rgb="FF660033"/>
      <name val="Calibri"/>
      <family val="2"/>
      <scheme val="minor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993366"/>
      <name val="Calibri"/>
      <family val="2"/>
    </font>
    <font>
      <b/>
      <sz val="18"/>
      <color rgb="FF66003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660033"/>
      <name val="Calibri"/>
      <family val="2"/>
      <scheme val="minor"/>
    </font>
    <font>
      <b/>
      <sz val="16"/>
      <color rgb="FF800000"/>
      <name val="Calibri"/>
      <family val="2"/>
    </font>
    <font>
      <b/>
      <sz val="18"/>
      <color rgb="FFCC009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Roboto Slab Black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660033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0033"/>
      </left>
      <right/>
      <top style="thin">
        <color rgb="FF660033"/>
      </top>
      <bottom style="thin">
        <color rgb="FF660033"/>
      </bottom>
      <diagonal/>
    </border>
    <border>
      <left/>
      <right style="thin">
        <color rgb="FF660033"/>
      </right>
      <top style="thin">
        <color rgb="FF660033"/>
      </top>
      <bottom style="thin">
        <color rgb="FF660033"/>
      </bottom>
      <diagonal/>
    </border>
    <border>
      <left/>
      <right/>
      <top style="medium">
        <color rgb="FF660033"/>
      </top>
      <bottom/>
      <diagonal/>
    </border>
    <border>
      <left/>
      <right/>
      <top/>
      <bottom style="medium">
        <color rgb="FF660033"/>
      </bottom>
      <diagonal/>
    </border>
    <border>
      <left/>
      <right style="medium">
        <color rgb="FF660033"/>
      </right>
      <top/>
      <bottom style="medium">
        <color rgb="FF660033"/>
      </bottom>
      <diagonal/>
    </border>
    <border>
      <left style="medium">
        <color rgb="FF660033"/>
      </left>
      <right style="thin">
        <color rgb="FF660033"/>
      </right>
      <top style="medium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/>
      <diagonal/>
    </border>
    <border>
      <left/>
      <right style="medium">
        <color rgb="FF660033"/>
      </right>
      <top style="thin">
        <color rgb="FF660033"/>
      </top>
      <bottom/>
      <diagonal/>
    </border>
    <border>
      <left style="medium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medium">
        <color rgb="FF660033"/>
      </bottom>
      <diagonal/>
    </border>
  </borders>
  <cellStyleXfs count="2">
    <xf numFmtId="0" fontId="0" fillId="0" borderId="0"/>
    <xf numFmtId="0" fontId="26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6" fillId="0" borderId="0" xfId="0" applyFont="1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1" fillId="0" borderId="4" xfId="0" applyFont="1" applyBorder="1" applyProtection="1"/>
    <xf numFmtId="0" fontId="1" fillId="3" borderId="5" xfId="0" applyFont="1" applyFill="1" applyBorder="1" applyAlignment="1">
      <alignment horizontal="center" wrapText="1"/>
    </xf>
    <xf numFmtId="0" fontId="7" fillId="0" borderId="0" xfId="0" applyFont="1" applyAlignment="1" applyProtection="1">
      <alignment wrapText="1"/>
      <protection locked="0"/>
    </xf>
    <xf numFmtId="0" fontId="14" fillId="0" borderId="0" xfId="0" applyFont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5" fillId="0" borderId="0" xfId="0" applyFont="1" applyAlignment="1" applyProtection="1">
      <alignment vertical="top" wrapText="1"/>
      <protection locked="0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" fillId="0" borderId="15" xfId="0" applyFont="1" applyBorder="1" applyProtection="1">
      <protection locked="0"/>
    </xf>
    <xf numFmtId="0" fontId="1" fillId="0" borderId="16" xfId="0" applyFont="1" applyBorder="1" applyProtection="1"/>
    <xf numFmtId="0" fontId="1" fillId="0" borderId="17" xfId="0" applyFont="1" applyBorder="1" applyProtection="1">
      <protection locked="0"/>
    </xf>
    <xf numFmtId="0" fontId="0" fillId="4" borderId="0" xfId="0" applyFill="1"/>
    <xf numFmtId="0" fontId="1" fillId="4" borderId="0" xfId="0" applyFont="1" applyFill="1" applyBorder="1" applyProtection="1"/>
    <xf numFmtId="0" fontId="1" fillId="4" borderId="0" xfId="0" applyFont="1" applyFill="1" applyProtection="1">
      <protection locked="0"/>
    </xf>
    <xf numFmtId="0" fontId="1" fillId="4" borderId="0" xfId="0" applyFont="1" applyFill="1" applyProtection="1"/>
    <xf numFmtId="0" fontId="0" fillId="4" borderId="0" xfId="0" applyFill="1" applyProtection="1"/>
    <xf numFmtId="0" fontId="0" fillId="4" borderId="0" xfId="0" applyFill="1" applyAlignment="1" applyProtection="1">
      <alignment horizontal="center" vertical="top"/>
      <protection locked="0"/>
    </xf>
    <xf numFmtId="0" fontId="0" fillId="4" borderId="0" xfId="0" applyFill="1" applyProtection="1">
      <protection locked="0"/>
    </xf>
    <xf numFmtId="0" fontId="18" fillId="2" borderId="18" xfId="0" applyFont="1" applyFill="1" applyBorder="1" applyAlignment="1" applyProtection="1">
      <alignment horizontal="center" vertical="top" wrapText="1"/>
    </xf>
    <xf numFmtId="0" fontId="18" fillId="2" borderId="19" xfId="0" applyFont="1" applyFill="1" applyBorder="1" applyAlignment="1" applyProtection="1">
      <alignment horizontal="center" vertical="top" wrapText="1"/>
    </xf>
    <xf numFmtId="0" fontId="18" fillId="2" borderId="20" xfId="0" applyFont="1" applyFill="1" applyBorder="1" applyAlignment="1" applyProtection="1">
      <alignment horizontal="center" vertical="top" wrapText="1"/>
    </xf>
    <xf numFmtId="0" fontId="18" fillId="2" borderId="21" xfId="0" applyFont="1" applyFill="1" applyBorder="1" applyAlignment="1" applyProtection="1">
      <alignment horizontal="center" vertical="top" wrapText="1"/>
    </xf>
    <xf numFmtId="0" fontId="3" fillId="4" borderId="23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6" fillId="4" borderId="0" xfId="0" applyFont="1" applyFill="1" applyBorder="1" applyAlignment="1" applyProtection="1">
      <alignment horizontal="left" wrapText="1"/>
      <protection locked="0"/>
    </xf>
    <xf numFmtId="0" fontId="6" fillId="4" borderId="24" xfId="0" applyFont="1" applyFill="1" applyBorder="1" applyAlignment="1" applyProtection="1">
      <alignment horizontal="left" wrapText="1"/>
      <protection locked="0"/>
    </xf>
    <xf numFmtId="0" fontId="6" fillId="4" borderId="25" xfId="0" applyFont="1" applyFill="1" applyBorder="1" applyAlignment="1" applyProtection="1">
      <alignment horizontal="left" wrapText="1"/>
      <protection locked="0"/>
    </xf>
    <xf numFmtId="0" fontId="8" fillId="6" borderId="24" xfId="0" applyFont="1" applyFill="1" applyBorder="1" applyAlignment="1" applyProtection="1">
      <alignment wrapText="1"/>
    </xf>
    <xf numFmtId="0" fontId="8" fillId="6" borderId="0" xfId="0" applyFont="1" applyFill="1" applyBorder="1" applyAlignment="1" applyProtection="1">
      <alignment wrapText="1"/>
    </xf>
    <xf numFmtId="0" fontId="8" fillId="6" borderId="25" xfId="0" applyFont="1" applyFill="1" applyBorder="1" applyAlignment="1" applyProtection="1">
      <alignment wrapText="1"/>
    </xf>
    <xf numFmtId="0" fontId="21" fillId="6" borderId="1" xfId="0" applyFont="1" applyFill="1" applyBorder="1" applyAlignment="1" applyProtection="1"/>
    <xf numFmtId="0" fontId="21" fillId="6" borderId="2" xfId="0" applyFont="1" applyFill="1" applyBorder="1" applyAlignment="1" applyProtection="1"/>
    <xf numFmtId="0" fontId="21" fillId="6" borderId="3" xfId="0" applyFont="1" applyFill="1" applyBorder="1" applyAlignment="1" applyProtection="1"/>
    <xf numFmtId="0" fontId="4" fillId="0" borderId="0" xfId="0" applyFont="1" applyAlignment="1" applyProtection="1">
      <alignment horizontal="center"/>
      <protection locked="0"/>
    </xf>
    <xf numFmtId="0" fontId="15" fillId="0" borderId="0" xfId="0" applyFont="1" applyProtection="1">
      <protection locked="0"/>
    </xf>
    <xf numFmtId="0" fontId="15" fillId="0" borderId="0" xfId="0" quotePrefix="1" applyFont="1" applyProtection="1">
      <protection locked="0"/>
    </xf>
    <xf numFmtId="0" fontId="0" fillId="0" borderId="0" xfId="0" applyFont="1" applyAlignment="1" applyProtection="1">
      <alignment wrapText="1"/>
      <protection locked="0"/>
    </xf>
    <xf numFmtId="0" fontId="6" fillId="0" borderId="0" xfId="0" applyFont="1" applyBorder="1" applyAlignment="1" applyProtection="1">
      <alignment wrapText="1"/>
    </xf>
    <xf numFmtId="0" fontId="6" fillId="0" borderId="0" xfId="0" applyFont="1" applyBorder="1" applyAlignment="1" applyProtection="1">
      <alignment wrapText="1"/>
      <protection locked="0"/>
    </xf>
    <xf numFmtId="0" fontId="1" fillId="0" borderId="0" xfId="0" applyFont="1" applyBorder="1" applyAlignment="1" applyProtection="1">
      <alignment wrapText="1"/>
      <protection locked="0"/>
    </xf>
    <xf numFmtId="0" fontId="1" fillId="3" borderId="33" xfId="0" applyFont="1" applyFill="1" applyBorder="1" applyAlignment="1">
      <alignment horizontal="center" wrapText="1"/>
    </xf>
    <xf numFmtId="0" fontId="1" fillId="0" borderId="34" xfId="0" applyFont="1" applyBorder="1" applyProtection="1"/>
    <xf numFmtId="0" fontId="0" fillId="0" borderId="35" xfId="0" applyBorder="1" applyProtection="1"/>
    <xf numFmtId="0" fontId="0" fillId="0" borderId="36" xfId="0" applyBorder="1" applyProtection="1"/>
    <xf numFmtId="0" fontId="1" fillId="3" borderId="37" xfId="0" applyFont="1" applyFill="1" applyBorder="1" applyAlignment="1">
      <alignment horizontal="center" wrapText="1"/>
    </xf>
    <xf numFmtId="0" fontId="1" fillId="0" borderId="38" xfId="0" applyFont="1" applyBorder="1" applyProtection="1"/>
    <xf numFmtId="0" fontId="1" fillId="0" borderId="39" xfId="0" applyFont="1" applyBorder="1" applyProtection="1"/>
    <xf numFmtId="0" fontId="9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0" xfId="0" applyFont="1"/>
    <xf numFmtId="0" fontId="25" fillId="0" borderId="0" xfId="0" applyFont="1"/>
    <xf numFmtId="0" fontId="2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26" fillId="0" borderId="0" xfId="1"/>
    <xf numFmtId="0" fontId="21" fillId="0" borderId="27" xfId="0" applyFont="1" applyBorder="1" applyAlignment="1" applyProtection="1">
      <alignment horizontal="center"/>
      <protection locked="0"/>
    </xf>
    <xf numFmtId="0" fontId="21" fillId="0" borderId="28" xfId="0" applyFont="1" applyBorder="1" applyAlignment="1" applyProtection="1">
      <alignment horizontal="center"/>
      <protection locked="0"/>
    </xf>
    <xf numFmtId="0" fontId="21" fillId="0" borderId="29" xfId="0" applyFont="1" applyBorder="1" applyAlignment="1" applyProtection="1">
      <alignment horizontal="center"/>
      <protection locked="0"/>
    </xf>
    <xf numFmtId="0" fontId="21" fillId="0" borderId="30" xfId="0" applyFont="1" applyBorder="1" applyAlignment="1" applyProtection="1">
      <alignment horizontal="center"/>
      <protection locked="0"/>
    </xf>
    <xf numFmtId="0" fontId="21" fillId="0" borderId="31" xfId="0" applyFont="1" applyBorder="1" applyAlignment="1" applyProtection="1">
      <alignment horizontal="center"/>
      <protection locked="0"/>
    </xf>
    <xf numFmtId="0" fontId="21" fillId="0" borderId="32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21" fillId="0" borderId="26" xfId="0" applyFont="1" applyBorder="1" applyAlignment="1" applyProtection="1">
      <alignment horizontal="center"/>
      <protection locked="0"/>
    </xf>
    <xf numFmtId="0" fontId="9" fillId="6" borderId="1" xfId="0" applyFont="1" applyFill="1" applyBorder="1" applyAlignment="1" applyProtection="1">
      <alignment horizontal="left" vertical="center" wrapText="1"/>
    </xf>
    <xf numFmtId="0" fontId="9" fillId="6" borderId="2" xfId="0" applyFont="1" applyFill="1" applyBorder="1" applyAlignment="1" applyProtection="1">
      <alignment horizontal="left" vertical="center"/>
    </xf>
    <xf numFmtId="0" fontId="9" fillId="6" borderId="3" xfId="0" applyFont="1" applyFill="1" applyBorder="1" applyAlignment="1" applyProtection="1">
      <alignment horizontal="left" vertical="center"/>
    </xf>
    <xf numFmtId="0" fontId="6" fillId="0" borderId="9" xfId="0" applyFont="1" applyBorder="1" applyAlignment="1" applyProtection="1">
      <alignment horizontal="left" wrapText="1"/>
      <protection locked="0"/>
    </xf>
    <xf numFmtId="0" fontId="6" fillId="0" borderId="10" xfId="0" applyFont="1" applyBorder="1" applyAlignment="1" applyProtection="1">
      <alignment horizontal="left" wrapText="1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6" fillId="0" borderId="12" xfId="0" applyFont="1" applyBorder="1" applyAlignment="1" applyProtection="1">
      <alignment horizontal="left" wrapText="1"/>
      <protection locked="0"/>
    </xf>
    <xf numFmtId="0" fontId="6" fillId="0" borderId="13" xfId="0" applyFont="1" applyBorder="1" applyAlignment="1" applyProtection="1">
      <alignment horizontal="left" wrapText="1"/>
      <protection locked="0"/>
    </xf>
    <xf numFmtId="0" fontId="6" fillId="0" borderId="14" xfId="0" applyFont="1" applyBorder="1" applyAlignment="1" applyProtection="1">
      <alignment horizontal="left" wrapText="1"/>
      <protection locked="0"/>
    </xf>
    <xf numFmtId="0" fontId="6" fillId="0" borderId="6" xfId="0" applyFont="1" applyBorder="1" applyAlignment="1" applyProtection="1">
      <alignment horizontal="left" wrapText="1"/>
      <protection locked="0"/>
    </xf>
    <xf numFmtId="0" fontId="6" fillId="0" borderId="7" xfId="0" applyFont="1" applyBorder="1" applyAlignment="1" applyProtection="1">
      <alignment horizontal="left" wrapText="1"/>
      <protection locked="0"/>
    </xf>
    <xf numFmtId="0" fontId="6" fillId="0" borderId="8" xfId="0" applyFont="1" applyBorder="1" applyAlignment="1" applyProtection="1">
      <alignment horizontal="left" wrapText="1"/>
      <protection locked="0"/>
    </xf>
  </cellXfs>
  <cellStyles count="2">
    <cellStyle name="Hyperlink" xfId="1" builtinId="8"/>
    <cellStyle name="Normal" xfId="0" builtinId="0"/>
  </cellStyles>
  <dxfs count="30"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CC0099"/>
      <color rgb="FFFF99FF"/>
      <color rgb="FF660033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6145" name="Button 1" descr="Create Customer Journey Ma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6146" name="Nemo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6147" name="TA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6148" name="Oint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6149" name="Trim Tab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28</xdr:row>
          <xdr:rowOff>152400</xdr:rowOff>
        </xdr:from>
        <xdr:to>
          <xdr:col>10</xdr:col>
          <xdr:colOff>4191000</xdr:colOff>
          <xdr:row>31</xdr:row>
          <xdr:rowOff>95250</xdr:rowOff>
        </xdr:to>
        <xdr:sp macro="" textlink="">
          <xdr:nvSpPr>
            <xdr:cNvPr id="6152" name="Customer Journey" descr="Create Customer Journey Map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1028" name="Customer Journey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1046" name="Nemo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1048" name="TA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1049" name="Oint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1050" name="Trim Tab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8DDB21-C6F3-40C4-B031-A29A11F8DA7E}" name="Table4" displayName="Table4" ref="D10:F12" headerRowCount="0" totalsRowShown="0">
  <tableColumns count="3">
    <tableColumn id="1" xr3:uid="{337FEFF7-87BE-471C-AFAA-624FC3ED878E}" name="Column1" headerRowDxfId="29"/>
    <tableColumn id="2" xr3:uid="{2D93658C-7593-4A33-951C-59D959C9667D}" name="Column2"/>
    <tableColumn id="3" xr3:uid="{6462013B-1460-4525-9B09-D1FF18D13635}" name="Column3" headerRowCellStyle="Hyperlink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41828ED-D0BD-4052-84D3-B7C71914A5B0}" name="Table17" displayName="Table17" ref="B15:C57" totalsRowShown="0" headerRowDxfId="28" dataDxfId="26" headerRowBorderDxfId="27">
  <tableColumns count="2">
    <tableColumn id="1" xr3:uid="{1C10B1EC-EEE8-4F77-863F-196E321C7FEC}" name="Step No" dataDxfId="25"/>
    <tableColumn id="2" xr3:uid="{FCC380E8-A346-462F-AB30-74E031F8639A}" name="Customer Journey Steps" dataDxfId="24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108F30-3245-436D-BF16-FF0BC2BF16BF}" name="Table28" displayName="Table28" ref="D15:H57" totalsRowShown="0" headerRowDxfId="23" dataDxfId="21" headerRowBorderDxfId="22">
  <tableColumns count="5">
    <tableColumn id="2" xr3:uid="{C68FC728-D63E-4A77-B301-7616E42C6707}" name="Negative Emotion" dataDxfId="20"/>
    <tableColumn id="3" xr3:uid="{DDEBDC61-AD96-414B-A072-EC1D06DA57F8}" name="High TAT" dataDxfId="19"/>
    <tableColumn id="4" xr3:uid="{4D581985-8AA1-4223-AA92-3E588929D12D}" name="Opposes Intention" dataDxfId="18"/>
    <tableColumn id="5" xr3:uid="{05D36C42-C69B-4069-ABE4-6C0020CE7CE0}" name="Trim Tab" dataDxfId="17">
      <calculatedColumnFormula>AVERAGE(Table28[[#This Row],[Negative Emotion]:[Opposes Intention]])</calculatedColumnFormula>
    </tableColumn>
    <tableColumn id="6" xr3:uid="{5A3EE0AA-DD72-482C-AAB9-C3C17CC54922}" name="Comments" dataDxfId="16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5:C57" totalsRowShown="0" headerRowDxfId="15" dataDxfId="13" headerRowBorderDxfId="14">
  <tableColumns count="2">
    <tableColumn id="1" xr3:uid="{A1834E27-94EC-4053-8656-C0CB318E128C}" name="Step No" dataDxfId="12"/>
    <tableColumn id="2" xr3:uid="{D6C2D0AD-C2F2-4490-B0EB-51ECE27D70FE}" name="Customer Journey Steps" dataDxfId="11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5:H57" totalsRowShown="0" headerRowDxfId="10" dataDxfId="8" headerRowBorderDxfId="9">
  <tableColumns count="5">
    <tableColumn id="2" xr3:uid="{4DCD6222-9668-4BE9-B0E8-A614070CB77C}" name="Negative Emotion" dataDxfId="7"/>
    <tableColumn id="3" xr3:uid="{DFC55628-5C2D-426C-9D40-7F02EDA38FB4}" name="High TAT" dataDxfId="6"/>
    <tableColumn id="4" xr3:uid="{3F4F6365-C778-4018-A452-6FAD76496835}" name="Opposes Intention" dataDxfId="5"/>
    <tableColumn id="5" xr3:uid="{41C8534F-B9D3-4A09-ACE1-1BDD1A45149B}" name="Trim Tab" dataDxfId="0">
      <calculatedColumnFormula>AVERAGE(Table2[[#This Row],[Negative Emotion]:[Opposes Intention]])</calculatedColumnFormula>
    </tableColumn>
    <tableColumn id="6" xr3:uid="{BE700835-D18A-4DE3-A809-981BE1CE6788}" name="Comments" dataDxfId="4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3"/>
    <tableColumn id="3" xr3:uid="{BE758C1A-6FEB-4896-AB70-36CACB0CF51B}" name="Short Desc" dataDxfId="2"/>
    <tableColumn id="4" xr3:uid="{476B8EA2-428C-4D2C-A69A-9958E653DCEC}" name="How many?" dataDxfId="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8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A1DA0-8412-4189-934D-06A34D4793BD}">
  <sheetPr codeName="Sheet5"/>
  <dimension ref="B3:F12"/>
  <sheetViews>
    <sheetView showGridLines="0" workbookViewId="0">
      <selection activeCell="F18" sqref="F18"/>
    </sheetView>
  </sheetViews>
  <sheetFormatPr defaultRowHeight="15"/>
  <cols>
    <col min="4" max="4" width="13.28515625" customWidth="1"/>
    <col min="5" max="5" width="39.85546875" customWidth="1"/>
    <col min="6" max="6" width="31.5703125" customWidth="1"/>
  </cols>
  <sheetData>
    <row r="3" spans="2:6" ht="50.25">
      <c r="C3" s="71" t="s">
        <v>77</v>
      </c>
    </row>
    <row r="4" spans="2:6" ht="15.75">
      <c r="B4" s="24"/>
    </row>
    <row r="5" spans="2:6">
      <c r="C5" t="s">
        <v>78</v>
      </c>
    </row>
    <row r="7" spans="2:6">
      <c r="C7" t="s">
        <v>79</v>
      </c>
    </row>
    <row r="10" spans="2:6">
      <c r="D10" s="70" t="s">
        <v>80</v>
      </c>
      <c r="E10" t="s">
        <v>83</v>
      </c>
      <c r="F10" s="74" t="s">
        <v>84</v>
      </c>
    </row>
    <row r="12" spans="2:6" ht="30">
      <c r="D12" s="72" t="s">
        <v>81</v>
      </c>
      <c r="E12" s="73" t="s">
        <v>82</v>
      </c>
      <c r="F12" s="74" t="s">
        <v>85</v>
      </c>
    </row>
  </sheetData>
  <hyperlinks>
    <hyperlink ref="F10" location="'PUX Restaurant Example - Cmd'!A1" display=" Click here to use command mode" xr:uid="{4BCE2BAE-4CEE-41BC-AD11-06EAC956801E}"/>
    <hyperlink ref="F12" location="'PUX IT Dev Example - Wiz'!A1" display=" Click here to use wizard mode" xr:uid="{CBE1674F-87D9-412B-934A-7C9585905AB2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DDCE-4376-4F55-98B4-22CD11642BA4}">
  <sheetPr codeName="Sheet3"/>
  <dimension ref="A1:Z57"/>
  <sheetViews>
    <sheetView showGridLines="0" zoomScale="50" zoomScaleNormal="50" workbookViewId="0">
      <selection activeCell="C10" sqref="C10:C13"/>
    </sheetView>
  </sheetViews>
  <sheetFormatPr defaultColWidth="8.85546875" defaultRowHeight="15"/>
  <cols>
    <col min="1" max="1" width="2.42578125" customWidth="1"/>
    <col min="2" max="2" width="9.5703125" customWidth="1"/>
    <col min="3" max="3" width="39" style="1" customWidth="1"/>
    <col min="4" max="4" width="16" style="1" customWidth="1"/>
    <col min="5" max="5" width="14.85546875" style="1" customWidth="1"/>
    <col min="6" max="6" width="15.140625" style="1" customWidth="1"/>
    <col min="7" max="7" width="9.42578125" style="14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75" t="s">
        <v>10</v>
      </c>
      <c r="K4" s="76"/>
      <c r="L4" s="12"/>
      <c r="M4" s="14"/>
      <c r="N4" s="14"/>
      <c r="O4" s="14"/>
      <c r="P4" s="14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77" t="s">
        <v>52</v>
      </c>
      <c r="K5" s="78"/>
      <c r="L5" s="12"/>
      <c r="M5" s="14"/>
      <c r="N5" s="14"/>
      <c r="O5" s="14"/>
      <c r="P5" s="14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77" t="s">
        <v>25</v>
      </c>
      <c r="K6" s="78"/>
      <c r="L6" s="12"/>
      <c r="M6" s="14"/>
      <c r="N6" s="14"/>
      <c r="O6" s="14"/>
      <c r="P6" s="14"/>
      <c r="Q6" s="14"/>
      <c r="R6" s="14"/>
      <c r="S6" s="14"/>
    </row>
    <row r="7" spans="1:26" ht="18.75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79" t="s">
        <v>13</v>
      </c>
      <c r="K7" s="80"/>
      <c r="L7" s="12"/>
      <c r="M7" s="14"/>
      <c r="N7" s="14"/>
      <c r="O7" s="14"/>
      <c r="P7" s="14"/>
      <c r="Q7" s="14"/>
      <c r="R7" s="14"/>
      <c r="S7" s="14"/>
    </row>
    <row r="8" spans="1:26" ht="19.5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81"/>
      <c r="K8" s="82"/>
      <c r="L8" s="12"/>
      <c r="M8" s="14"/>
      <c r="N8" s="14"/>
      <c r="O8" s="14"/>
      <c r="P8" s="14"/>
      <c r="Q8" s="14"/>
      <c r="R8" s="14"/>
      <c r="S8" s="14"/>
    </row>
    <row r="9" spans="1:26" s="14" customFormat="1" ht="16.5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83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84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84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5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</row>
    <row r="15" spans="1:26" s="16" customFormat="1" ht="47.25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3</v>
      </c>
    </row>
    <row r="16" spans="1:26" ht="23.25">
      <c r="B16" s="54">
        <v>1</v>
      </c>
      <c r="C16" s="55" t="s">
        <v>73</v>
      </c>
      <c r="D16" s="4">
        <v>3</v>
      </c>
      <c r="E16" s="4">
        <v>3</v>
      </c>
      <c r="F16" s="4">
        <v>3</v>
      </c>
      <c r="G16" s="12">
        <f>AVERAGE(Table28[[#This Row],[Negative Emotion]:[Opposes Intention]])</f>
        <v>3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2</v>
      </c>
    </row>
    <row r="17" spans="2:26" ht="15.75">
      <c r="B17" s="54">
        <v>2</v>
      </c>
      <c r="C17" s="55" t="s">
        <v>74</v>
      </c>
      <c r="D17" s="4">
        <v>0</v>
      </c>
      <c r="E17" s="4">
        <v>1</v>
      </c>
      <c r="F17" s="4">
        <v>0</v>
      </c>
      <c r="G17" s="12">
        <f>AVERAGE(Table28[[#This Row],[Negative Emotion]:[Opposes Intention]])</f>
        <v>0.33333333333333331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1</v>
      </c>
    </row>
    <row r="18" spans="2:26" ht="23.25">
      <c r="B18" s="54">
        <v>3</v>
      </c>
      <c r="C18" s="55" t="s">
        <v>16</v>
      </c>
      <c r="D18" s="4">
        <v>0</v>
      </c>
      <c r="E18" s="4">
        <v>0</v>
      </c>
      <c r="F18" s="4">
        <v>0</v>
      </c>
      <c r="G18" s="12">
        <f>AVERAGE(Table28[[#This Row],[Negative Emotion]:[Opposes Intention]])</f>
        <v>0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  <c r="Z18">
        <v>0</v>
      </c>
    </row>
    <row r="19" spans="2:26" ht="17.25" customHeight="1">
      <c r="B19" s="54">
        <v>4</v>
      </c>
      <c r="C19" s="55" t="s">
        <v>35</v>
      </c>
      <c r="D19" s="4">
        <v>1</v>
      </c>
      <c r="E19" s="4">
        <v>1</v>
      </c>
      <c r="F19" s="4">
        <v>1</v>
      </c>
      <c r="G19" s="12">
        <f>AVERAGE(Table28[[#This Row],[Negative Emotion]:[Opposes Intention]])</f>
        <v>1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55" t="s">
        <v>17</v>
      </c>
      <c r="D20" s="4">
        <v>0</v>
      </c>
      <c r="E20" s="4">
        <v>1</v>
      </c>
      <c r="F20" s="4">
        <v>0</v>
      </c>
      <c r="G20" s="12">
        <f>AVERAGE(Table28[[#This Row],[Negative Emotion]:[Opposes Intention]])</f>
        <v>0.33333333333333331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55" t="s">
        <v>18</v>
      </c>
      <c r="D21" s="4">
        <v>1</v>
      </c>
      <c r="E21" s="4">
        <v>2</v>
      </c>
      <c r="F21" s="4">
        <v>2</v>
      </c>
      <c r="G21" s="12">
        <f>AVERAGE(Table28[[#This Row],[Negative Emotion]:[Opposes Intention]])</f>
        <v>1.6666666666666667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55" t="s">
        <v>19</v>
      </c>
      <c r="D22" s="4">
        <v>3</v>
      </c>
      <c r="E22" s="4">
        <v>3</v>
      </c>
      <c r="F22" s="4">
        <v>3</v>
      </c>
      <c r="G22" s="12">
        <f>AVERAGE(Table28[[#This Row],[Negative Emotion]:[Opposes Intention]])</f>
        <v>3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55" t="s">
        <v>20</v>
      </c>
      <c r="D23" s="4">
        <v>3</v>
      </c>
      <c r="E23" s="4">
        <v>3</v>
      </c>
      <c r="F23" s="4">
        <v>3</v>
      </c>
      <c r="G23" s="12">
        <f>AVERAGE(Table28[[#This Row],[Negative Emotion]:[Opposes Intention]])</f>
        <v>3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 ht="15.75">
      <c r="B24" s="54">
        <v>9</v>
      </c>
      <c r="C24" s="55" t="s">
        <v>21</v>
      </c>
      <c r="D24" s="4">
        <v>3</v>
      </c>
      <c r="E24" s="4">
        <v>3</v>
      </c>
      <c r="F24" s="4">
        <v>2</v>
      </c>
      <c r="G24" s="12">
        <f>AVERAGE(Table28[[#This Row],[Negative Emotion]:[Opposes Intention]])</f>
        <v>2.6666666666666665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55" t="s">
        <v>22</v>
      </c>
      <c r="D25" s="4">
        <v>3</v>
      </c>
      <c r="E25" s="4">
        <v>3</v>
      </c>
      <c r="F25" s="4">
        <v>0</v>
      </c>
      <c r="G25" s="12">
        <f>AVERAGE(Table28[[#This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55" t="s">
        <v>23</v>
      </c>
      <c r="D26" s="4">
        <v>1</v>
      </c>
      <c r="E26" s="4">
        <v>1</v>
      </c>
      <c r="F26" s="4">
        <v>0</v>
      </c>
      <c r="G26" s="12">
        <f>AVERAGE(Table28[[#This Row],[Negative Emotion]:[Opposes Intention]])</f>
        <v>0.66666666666666663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55" t="s">
        <v>24</v>
      </c>
      <c r="D27" s="4">
        <v>3</v>
      </c>
      <c r="E27" s="4">
        <v>3</v>
      </c>
      <c r="F27" s="4">
        <v>0</v>
      </c>
      <c r="G27" s="12">
        <f>AVERAGE(Table28[[#This Row],[Negative Emotion]:[Opposes Intention]])</f>
        <v>2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>
        <v>13</v>
      </c>
      <c r="C28" s="55" t="s">
        <v>76</v>
      </c>
      <c r="D28" s="4">
        <v>3</v>
      </c>
      <c r="E28" s="4">
        <v>0</v>
      </c>
      <c r="F28" s="4">
        <v>0</v>
      </c>
      <c r="G28" s="12">
        <f>AVERAGE(Table28[[#This Row],[Negative Emotion]:[Opposes Intention]])</f>
        <v>1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>
        <v>14</v>
      </c>
      <c r="C29" s="55" t="s">
        <v>2</v>
      </c>
      <c r="D29" s="4">
        <v>3</v>
      </c>
      <c r="E29" s="4">
        <v>1</v>
      </c>
      <c r="F29" s="4">
        <v>0</v>
      </c>
      <c r="G29" s="12">
        <f>AVERAGE(Table28[[#This Row],[Negative Emotion]:[Opposes Intention]])</f>
        <v>1.3333333333333333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>
        <v>15</v>
      </c>
      <c r="C30" s="55" t="s">
        <v>3</v>
      </c>
      <c r="D30" s="4">
        <v>0</v>
      </c>
      <c r="E30" s="4">
        <v>1</v>
      </c>
      <c r="F30" s="4">
        <v>0</v>
      </c>
      <c r="G30" s="12">
        <f>AVERAGE(Table28[[#This Row],[Negative Emotion]:[Opposes Intention]])</f>
        <v>0.33333333333333331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>
        <v>16</v>
      </c>
      <c r="C31" s="55" t="s">
        <v>34</v>
      </c>
      <c r="D31" s="4">
        <v>0</v>
      </c>
      <c r="E31" s="4">
        <v>0</v>
      </c>
      <c r="F31" s="4">
        <v>0</v>
      </c>
      <c r="G31" s="12">
        <f>AVERAGE(Table28[[#This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17">
        <f>AVERAGE(Table28[[#This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17">
        <f>AVERAGE(Table28[[#This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17">
        <f>AVERAGE(Table28[[#This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17">
        <f>AVERAGE(Table28[[#This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17">
        <f>AVERAGE(Table28[[#This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17">
        <f>AVERAGE(Table28[[#This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17">
        <f>AVERAGE(Table28[[#This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17">
        <f>AVERAGE(Table28[[#This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17">
        <f>AVERAGE(Table28[[#This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17">
        <f>AVERAGE(Table28[[#This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17">
        <f>AVERAGE(Table28[[#This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17">
        <f>AVERAGE(Table28[[#This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17">
        <f>AVERAGE(Table28[[#This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17">
        <f>AVERAGE(Table28[[#This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17">
        <f>AVERAGE(Table28[[#This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17">
        <f>AVERAGE(Table28[[#This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17">
        <f>AVERAGE(Table28[[#This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17">
        <f>AVERAGE(Table28[[#This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17">
        <f>AVERAGE(Table28[[#This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17">
        <f>AVERAGE(Table28[[#This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17">
        <f>AVERAGE(Table28[[#This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17">
        <f>AVERAGE(Table28[[#This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17">
        <f>AVERAGE(Table28[[#This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17">
        <f>AVERAGE(Table28[[#This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17">
        <f>AVERAGE(Table28[[#This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17">
        <f>AVERAGE(Table28[[#This Row],[Negative Emotion]:[Opposes Intention]])</f>
        <v>0</v>
      </c>
      <c r="H57" s="5"/>
    </row>
  </sheetData>
  <sheetProtection insertRows="0" deleteRows="0"/>
  <mergeCells count="5">
    <mergeCell ref="J4:K4"/>
    <mergeCell ref="J5:K5"/>
    <mergeCell ref="J6:K6"/>
    <mergeCell ref="J7:K8"/>
    <mergeCell ref="C10:C13"/>
  </mergeCells>
  <conditionalFormatting sqref="E10:E12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6:G57" xr:uid="{FBAA8ACD-123F-4621-A911-690C87F2B3D4}">
      <formula1>$Z$15:$Z$18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Customer Journey">
              <controlPr defaultSize="0" print="0" autoFill="0" autoPict="0" macro="[0]!PUX" altText="Create Customer Journey Map">
                <anchor moveWithCells="1" sizeWithCells="1">
                  <from>
                    <xdr:col>10</xdr:col>
                    <xdr:colOff>0</xdr:colOff>
                    <xdr:row>28</xdr:row>
                    <xdr:rowOff>152400</xdr:rowOff>
                  </from>
                  <to>
                    <xdr:col>10</xdr:col>
                    <xdr:colOff>4191000</xdr:colOff>
                    <xdr:row>31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47171DB-C76D-4556-BE64-AFE160E2B2B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D16:G57</xm:sqref>
        </x14:conditionalFormatting>
        <x14:conditionalFormatting xmlns:xm="http://schemas.microsoft.com/office/excel/2006/main">
          <x14:cfRule type="iconSet" priority="1" id="{9B3C483C-7D08-4F42-B622-24198E8A947C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Z57"/>
  <sheetViews>
    <sheetView showGridLines="0" tabSelected="1" topLeftCell="A4" zoomScale="60" zoomScaleNormal="60" workbookViewId="0">
      <selection activeCell="G16" sqref="G16"/>
    </sheetView>
  </sheetViews>
  <sheetFormatPr defaultColWidth="8.85546875" defaultRowHeight="15"/>
  <cols>
    <col min="1" max="1" width="2.42578125" customWidth="1"/>
    <col min="2" max="2" width="9.5703125" customWidth="1"/>
    <col min="3" max="3" width="51.28515625" style="1" customWidth="1"/>
    <col min="4" max="4" width="16" style="1" customWidth="1"/>
    <col min="5" max="5" width="14.85546875" style="1" customWidth="1"/>
    <col min="6" max="6" width="15.140625" style="1" customWidth="1"/>
    <col min="7" max="7" width="9.42578125" style="14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86" t="s">
        <v>37</v>
      </c>
      <c r="K4" s="87"/>
      <c r="L4" s="87"/>
      <c r="M4" s="87"/>
      <c r="N4" s="87"/>
      <c r="O4" s="87"/>
      <c r="P4" s="88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89" t="s">
        <v>38</v>
      </c>
      <c r="K5" s="90"/>
      <c r="L5" s="90"/>
      <c r="M5" s="90"/>
      <c r="N5" s="90"/>
      <c r="O5" s="90"/>
      <c r="P5" s="91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89" t="s">
        <v>39</v>
      </c>
      <c r="K6" s="90"/>
      <c r="L6" s="90"/>
      <c r="M6" s="90"/>
      <c r="N6" s="90"/>
      <c r="O6" s="90"/>
      <c r="P6" s="91"/>
      <c r="Q6" s="14"/>
      <c r="R6" s="14"/>
      <c r="S6" s="14"/>
    </row>
    <row r="7" spans="1:26" ht="18.75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92"/>
      <c r="K7" s="93"/>
      <c r="L7" s="93"/>
      <c r="M7" s="93"/>
      <c r="N7" s="93"/>
      <c r="O7" s="93"/>
      <c r="P7" s="94"/>
      <c r="Q7" s="14"/>
      <c r="R7" s="14"/>
      <c r="S7" s="14"/>
    </row>
    <row r="8" spans="1:26" ht="19.5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92" t="s">
        <v>13</v>
      </c>
      <c r="K8" s="93"/>
      <c r="L8" s="93"/>
      <c r="M8" s="93"/>
      <c r="N8" s="93"/>
      <c r="O8" s="93"/>
      <c r="P8" s="94"/>
      <c r="Q8" s="14"/>
      <c r="R8" s="14"/>
      <c r="S8" s="14"/>
    </row>
    <row r="9" spans="1:26" s="14" customFormat="1" ht="16.5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83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84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84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5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  <c r="Z14">
        <v>3</v>
      </c>
    </row>
    <row r="15" spans="1:26" s="16" customFormat="1" ht="47.25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2</v>
      </c>
    </row>
    <row r="16" spans="1:26" ht="27.75" customHeight="1">
      <c r="B16" s="54">
        <v>1</v>
      </c>
      <c r="C16" s="9" t="s">
        <v>40</v>
      </c>
      <c r="D16" s="4">
        <v>0</v>
      </c>
      <c r="E16" s="4">
        <v>0</v>
      </c>
      <c r="F16" s="4">
        <v>0</v>
      </c>
      <c r="G16" s="11">
        <f>AVERAGE(Table2[[#This Row],[Negative Emotion]:[Opposes Intention]])</f>
        <v>0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1</v>
      </c>
    </row>
    <row r="17" spans="2:26" ht="15.75">
      <c r="B17" s="54">
        <v>2</v>
      </c>
      <c r="C17" s="9" t="s">
        <v>41</v>
      </c>
      <c r="D17" s="4">
        <v>3</v>
      </c>
      <c r="E17" s="4">
        <v>3</v>
      </c>
      <c r="F17" s="4">
        <v>3</v>
      </c>
      <c r="G17" s="11">
        <f>AVERAGE(Table2[[#This Row],[Negative Emotion]:[Opposes Intention]])</f>
        <v>3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0</v>
      </c>
    </row>
    <row r="18" spans="2:26" ht="23.25">
      <c r="B18" s="54">
        <v>3</v>
      </c>
      <c r="C18" s="9" t="s">
        <v>42</v>
      </c>
      <c r="D18" s="4">
        <v>1</v>
      </c>
      <c r="E18" s="4">
        <v>2</v>
      </c>
      <c r="F18" s="4">
        <v>1</v>
      </c>
      <c r="G18" s="11">
        <f>AVERAGE(Table2[[#This Row],[Negative Emotion]:[Opposes Intention]])</f>
        <v>1.3333333333333333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</row>
    <row r="19" spans="2:26" ht="17.25" customHeight="1">
      <c r="B19" s="54">
        <v>4</v>
      </c>
      <c r="C19" s="20" t="s">
        <v>43</v>
      </c>
      <c r="D19" s="4">
        <v>0</v>
      </c>
      <c r="E19" s="4">
        <v>0</v>
      </c>
      <c r="F19" s="4">
        <v>0</v>
      </c>
      <c r="G19" s="11">
        <f>AVERAGE(Table2[[#This Row],[Negative Emotion]:[Opposes Intention]])</f>
        <v>0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9" t="s">
        <v>44</v>
      </c>
      <c r="D20" s="4">
        <v>3</v>
      </c>
      <c r="E20" s="4">
        <v>3</v>
      </c>
      <c r="F20" s="4">
        <v>3</v>
      </c>
      <c r="G20" s="11">
        <f>AVERAGE(Table2[[#This Row],[Negative Emotion]:[Opposes Intention]])</f>
        <v>3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9" t="s">
        <v>45</v>
      </c>
      <c r="D21" s="4">
        <v>2</v>
      </c>
      <c r="E21" s="4">
        <v>2</v>
      </c>
      <c r="F21" s="4">
        <v>2</v>
      </c>
      <c r="G21" s="11">
        <f>AVERAGE(Table2[[#This Row],[Negative Emotion]:[Opposes Intention]])</f>
        <v>2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9" t="s">
        <v>46</v>
      </c>
      <c r="D22" s="4">
        <v>1</v>
      </c>
      <c r="E22" s="4">
        <v>1</v>
      </c>
      <c r="F22" s="4">
        <v>1</v>
      </c>
      <c r="G22" s="11">
        <f>AVERAGE(Table2[[#This Row],[Negative Emotion]:[Opposes Intention]])</f>
        <v>1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9" t="s">
        <v>47</v>
      </c>
      <c r="D23" s="4">
        <v>0</v>
      </c>
      <c r="E23" s="4">
        <v>0</v>
      </c>
      <c r="F23" s="4">
        <v>0</v>
      </c>
      <c r="G23" s="11">
        <f>AVERAGE(Table2[[#This Row],[Negative Emotion]:[Opposes Intention]])</f>
        <v>0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>
      <c r="B24" s="54">
        <v>9</v>
      </c>
      <c r="C24" s="3" t="s">
        <v>48</v>
      </c>
      <c r="D24" s="4">
        <v>1</v>
      </c>
      <c r="E24" s="4">
        <v>1</v>
      </c>
      <c r="F24" s="4">
        <v>1</v>
      </c>
      <c r="G24" s="11">
        <f>AVERAGE(Table2[[#This Row],[Negative Emotion]:[Opposes Intention]])</f>
        <v>1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9" t="s">
        <v>49</v>
      </c>
      <c r="D25" s="4">
        <v>0</v>
      </c>
      <c r="E25" s="4">
        <v>3</v>
      </c>
      <c r="F25" s="4">
        <v>3</v>
      </c>
      <c r="G25" s="11">
        <f>AVERAGE(Table2[[#This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9" t="s">
        <v>50</v>
      </c>
      <c r="D26" s="4">
        <v>3</v>
      </c>
      <c r="E26" s="4">
        <v>2</v>
      </c>
      <c r="F26" s="4">
        <v>3</v>
      </c>
      <c r="G26" s="11">
        <f>AVERAGE(Table2[[#This Row],[Negative Emotion]:[Opposes Intention]])</f>
        <v>2.6666666666666665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9" t="s">
        <v>51</v>
      </c>
      <c r="D27" s="4">
        <v>0</v>
      </c>
      <c r="E27" s="4">
        <v>0</v>
      </c>
      <c r="F27" s="4">
        <v>0</v>
      </c>
      <c r="G27" s="11">
        <f>AVERAGE(Table2[[#This Row],[Negative Emotion]:[Opposes Intention]])</f>
        <v>0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/>
      <c r="C28" s="55"/>
      <c r="D28" s="4">
        <v>0</v>
      </c>
      <c r="E28" s="4">
        <v>0</v>
      </c>
      <c r="F28" s="4">
        <v>0</v>
      </c>
      <c r="G28" s="11">
        <f>AVERAGE(Table2[[#This Row],[Negative Emotion]:[Opposes Intention]])</f>
        <v>0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/>
      <c r="C29" s="55"/>
      <c r="D29" s="4">
        <v>0</v>
      </c>
      <c r="E29" s="4">
        <v>0</v>
      </c>
      <c r="F29" s="4">
        <v>0</v>
      </c>
      <c r="G29" s="11">
        <f>AVERAGE(Table2[[#This Row],[Negative Emotion]:[Opposes Intention]])</f>
        <v>0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/>
      <c r="C30" s="55"/>
      <c r="D30" s="4">
        <v>0</v>
      </c>
      <c r="E30" s="4">
        <v>0</v>
      </c>
      <c r="F30" s="4">
        <v>0</v>
      </c>
      <c r="G30" s="11">
        <f>AVERAGE(Table2[[#This Row],[Negative Emotion]:[Opposes Intention]])</f>
        <v>0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/>
      <c r="C31" s="55"/>
      <c r="D31" s="4">
        <v>0</v>
      </c>
      <c r="E31" s="4">
        <v>0</v>
      </c>
      <c r="F31" s="4">
        <v>0</v>
      </c>
      <c r="G31" s="11">
        <f>AVERAGE(Table2[[#This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11">
        <f>AVERAGE(Table2[[#This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11">
        <f>AVERAGE(Table2[[#This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11">
        <f>AVERAGE(Table2[[#This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11">
        <f>AVERAGE(Table2[[#This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11">
        <f>AVERAGE(Table2[[#This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11">
        <f>AVERAGE(Table2[[#This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11">
        <f>AVERAGE(Table2[[#This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11">
        <f>AVERAGE(Table2[[#This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11">
        <f>AVERAGE(Table2[[#This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11">
        <f>AVERAGE(Table2[[#This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4">
        <f>AVERAGE(Table2[[#This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4">
        <f>AVERAGE(Table2[[#This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4">
        <f>AVERAGE(Table2[[#This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4">
        <f>AVERAGE(Table2[[#This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4">
        <f>AVERAGE(Table2[[#This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4">
        <f>AVERAGE(Table2[[#This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4">
        <f>AVERAGE(Table2[[#This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4">
        <f>AVERAGE(Table2[[#This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4">
        <f>AVERAGE(Table2[[#This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4">
        <f>AVERAGE(Table2[[#This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4">
        <f>AVERAGE(Table2[[#This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4">
        <f>AVERAGE(Table2[[#This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4">
        <f>AVERAGE(Table2[[#This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4">
        <f>AVERAGE(Table2[[#This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4">
        <f>AVERAGE(Table2[[#This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4">
        <f>AVERAGE(Table2[[#This Row],[Negative Emotion]:[Opposes Intention]])</f>
        <v>0</v>
      </c>
      <c r="H57" s="5"/>
    </row>
  </sheetData>
  <sheetProtection insertRows="0" deleteRows="0"/>
  <mergeCells count="6">
    <mergeCell ref="C10:C13"/>
    <mergeCell ref="J4:P4"/>
    <mergeCell ref="J5:P5"/>
    <mergeCell ref="J6:P6"/>
    <mergeCell ref="J7:P7"/>
    <mergeCell ref="J8:P8"/>
  </mergeCells>
  <phoneticPr fontId="20" type="noConversion"/>
  <conditionalFormatting sqref="E10:E12">
    <cfRule type="iconSet" priority="6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10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2">
    <dataValidation type="list" showInputMessage="1" showErrorMessage="1" sqref="G16:G57" xr:uid="{4A1D1EC2-18D3-479A-B9D1-98B7984B0DFE}">
      <formula1>$Z$14:$Z$17</formula1>
    </dataValidation>
    <dataValidation type="list" allowBlank="1" showInputMessage="1" showErrorMessage="1" sqref="D16:F57" xr:uid="{20936D3F-C05F-48AF-94FF-C599E6A06B86}">
      <formula1>$Z$14:$Z$17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ustomer Journey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  <x14:conditionalFormatting xmlns:xm="http://schemas.microsoft.com/office/excel/2006/main">
          <x14:cfRule type="iconSet" priority="2" id="{5C104A37-B6A8-4F95-A006-3ABFE2A0E61A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D27:F57 G16:G57</xm:sqref>
        </x14:conditionalFormatting>
        <x14:conditionalFormatting xmlns:xm="http://schemas.microsoft.com/office/excel/2006/main">
          <x14:cfRule type="iconSet" priority="1" id="{E554569E-5E5F-4D4F-BE98-3C5C7905663F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D16:F26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sheetPr codeName="Sheet4"/>
  <dimension ref="B3:G17"/>
  <sheetViews>
    <sheetView workbookViewId="0">
      <selection activeCell="D19" sqref="D19"/>
    </sheetView>
  </sheetViews>
  <sheetFormatPr defaultRowHeight="15"/>
  <cols>
    <col min="3" max="3" width="17.85546875" customWidth="1"/>
    <col min="4" max="4" width="60" customWidth="1"/>
    <col min="5" max="5" width="21.42578125" customWidth="1"/>
  </cols>
  <sheetData>
    <row r="3" spans="2:7" ht="21">
      <c r="B3" s="21" t="s">
        <v>53</v>
      </c>
      <c r="C3" s="22" t="s">
        <v>54</v>
      </c>
      <c r="D3" s="23" t="s">
        <v>55</v>
      </c>
      <c r="E3" s="23" t="s">
        <v>56</v>
      </c>
    </row>
    <row r="4" spans="2:7" ht="15.75">
      <c r="B4">
        <v>1</v>
      </c>
      <c r="C4" s="26" t="s">
        <v>57</v>
      </c>
      <c r="D4" s="26" t="s">
        <v>61</v>
      </c>
      <c r="E4" s="25">
        <v>1000</v>
      </c>
      <c r="F4" s="24"/>
      <c r="G4" s="24"/>
    </row>
    <row r="5" spans="2:7">
      <c r="B5">
        <v>2</v>
      </c>
      <c r="C5" s="25" t="s">
        <v>58</v>
      </c>
      <c r="D5" s="25" t="s">
        <v>62</v>
      </c>
      <c r="E5" s="25">
        <v>20</v>
      </c>
    </row>
    <row r="6" spans="2:7">
      <c r="B6">
        <v>3</v>
      </c>
      <c r="C6" s="25" t="s">
        <v>59</v>
      </c>
      <c r="D6" s="25" t="s">
        <v>63</v>
      </c>
      <c r="E6" s="25">
        <v>5</v>
      </c>
    </row>
    <row r="7" spans="2:7">
      <c r="B7">
        <v>4</v>
      </c>
      <c r="C7" s="25" t="s">
        <v>60</v>
      </c>
      <c r="D7" s="25"/>
      <c r="E7" s="25">
        <v>2</v>
      </c>
    </row>
    <row r="8" spans="2:7">
      <c r="C8" s="25"/>
      <c r="D8" s="25"/>
      <c r="E8" s="25"/>
    </row>
    <row r="9" spans="2:7">
      <c r="C9" s="25"/>
      <c r="D9" s="25"/>
      <c r="E9" s="25"/>
    </row>
    <row r="10" spans="2:7">
      <c r="C10" s="25"/>
      <c r="D10" s="25"/>
      <c r="E10" s="25"/>
    </row>
    <row r="11" spans="2:7">
      <c r="C11" s="25"/>
      <c r="D11" s="25"/>
      <c r="E11" s="25"/>
    </row>
    <row r="12" spans="2:7">
      <c r="C12" s="25"/>
      <c r="D12" s="25"/>
      <c r="E12" s="25"/>
    </row>
    <row r="13" spans="2:7">
      <c r="C13" s="25"/>
      <c r="D13" s="25"/>
      <c r="E13" s="25"/>
    </row>
    <row r="14" spans="2:7">
      <c r="C14" s="25"/>
      <c r="D14" s="25"/>
      <c r="E14" s="25"/>
    </row>
    <row r="15" spans="2:7">
      <c r="C15" s="25"/>
      <c r="D15" s="25"/>
      <c r="E15" s="25"/>
    </row>
    <row r="16" spans="2:7">
      <c r="C16" s="25"/>
      <c r="D16" s="25"/>
      <c r="E16" s="25"/>
    </row>
    <row r="17" spans="3:5">
      <c r="C17" s="25"/>
      <c r="D17" s="25"/>
      <c r="E17" s="2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PUX Restaurant Example - Cmd</vt:lpstr>
      <vt:lpstr>PUX IT Dev Example - Wiz</vt:lpstr>
      <vt:lpstr> Identifiy your 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2021-07-23T13:23:50Z</dcterms:modified>
</cp:coreProperties>
</file>