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omments2.xml" ContentType="application/vnd.openxmlformats-officedocument.spreadsheetml.comments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GitHub\hipoha-framework\Downloads\"/>
    </mc:Choice>
  </mc:AlternateContent>
  <xr:revisionPtr revIDLastSave="0" documentId="13_ncr:1_{1344FDE0-A0D3-446A-B1BD-2DB35D6AD4B5}" xr6:coauthVersionLast="47" xr6:coauthVersionMax="47" xr10:uidLastSave="{00000000-0000-0000-0000-000000000000}"/>
  <bookViews>
    <workbookView xWindow="-23148" yWindow="-108" windowWidth="23256" windowHeight="12576" xr2:uid="{B3A634E3-7B0D-49A1-AC45-20D6757FFE73}"/>
  </bookViews>
  <sheets>
    <sheet name="Overview" sheetId="15" r:id="rId1"/>
    <sheet name="PUX Restaurant Example - Cmd" sheetId="10" r:id="rId2"/>
    <sheet name="PUX IT Dev Example - Wiz" sheetId="1" r:id="rId3"/>
    <sheet name=" Identifiy your customers" sheetId="5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17" i="1" l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16" i="1"/>
  <c r="G17" i="10"/>
  <c r="G18" i="10"/>
  <c r="G19" i="10"/>
  <c r="G20" i="10"/>
  <c r="G21" i="10"/>
  <c r="G22" i="10"/>
  <c r="G23" i="10"/>
  <c r="G24" i="10"/>
  <c r="G25" i="10"/>
  <c r="G26" i="10"/>
  <c r="G27" i="10"/>
  <c r="G28" i="10"/>
  <c r="G29" i="10"/>
  <c r="G30" i="10"/>
  <c r="G31" i="10"/>
  <c r="G16" i="10"/>
  <c r="G57" i="10"/>
  <c r="G56" i="10"/>
  <c r="G55" i="10"/>
  <c r="G54" i="10"/>
  <c r="G53" i="10"/>
  <c r="G52" i="10"/>
  <c r="G51" i="10"/>
  <c r="G50" i="10"/>
  <c r="G49" i="10"/>
  <c r="G48" i="10"/>
  <c r="G47" i="10"/>
  <c r="G46" i="10"/>
  <c r="G45" i="10"/>
  <c r="G44" i="10"/>
  <c r="G43" i="10"/>
  <c r="G42" i="10"/>
  <c r="G41" i="10"/>
  <c r="G40" i="10"/>
  <c r="G39" i="10"/>
  <c r="G38" i="10"/>
  <c r="G37" i="10"/>
  <c r="G36" i="10"/>
  <c r="G35" i="10"/>
  <c r="G34" i="10"/>
  <c r="G33" i="10"/>
  <c r="G32" i="1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Sukumar Rajagopal</author>
  </authors>
  <commentList>
    <comment ref="D15" authorId="0" shapeId="0" xr:uid="{5E437AAD-79D5-4D56-A991-6DA29847AABF}">
      <text>
        <r>
          <rPr>
            <b/>
            <sz val="10"/>
            <color rgb="FF000000"/>
            <rFont val="Tahoma"/>
            <family val="2"/>
          </rPr>
          <t>Sukumar Rajagopal: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Calibri"/>
            <family val="2"/>
          </rPr>
          <t xml:space="preserve">Rating Scale 1. Green (0) 0-5%  
</t>
        </r>
        <r>
          <rPr>
            <sz val="10"/>
            <color rgb="FF000000"/>
            <rFont val="Calibri"/>
            <family val="2"/>
          </rPr>
          <t xml:space="preserve">2. Grey (1) - 5-50% 
</t>
        </r>
        <r>
          <rPr>
            <sz val="10"/>
            <color rgb="FF000000"/>
            <rFont val="Calibri"/>
            <family val="2"/>
          </rPr>
          <t xml:space="preserve">3. Yellow (2) - 50-80%  
</t>
        </r>
        <r>
          <rPr>
            <sz val="10"/>
            <color rgb="FF000000"/>
            <rFont val="Calibri"/>
            <family val="2"/>
          </rPr>
          <t xml:space="preserve">4. Red (3) - 80-100%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Sukumar Rajagopal</author>
  </authors>
  <commentList>
    <comment ref="D15" authorId="0" shapeId="0" xr:uid="{A31D2750-E5C4-EB41-BD52-FFDBBE9029EB}">
      <text>
        <r>
          <rPr>
            <b/>
            <sz val="10"/>
            <color rgb="FF000000"/>
            <rFont val="Tahoma"/>
            <family val="2"/>
          </rPr>
          <t>Sukumar Rajagopal: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Calibri"/>
            <family val="2"/>
          </rPr>
          <t xml:space="preserve">Rating Scale 1. Green (0) 0-5%  
</t>
        </r>
        <r>
          <rPr>
            <sz val="10"/>
            <color rgb="FF000000"/>
            <rFont val="Calibri"/>
            <family val="2"/>
          </rPr>
          <t xml:space="preserve">2. Grey (1) - 5-50% 
</t>
        </r>
        <r>
          <rPr>
            <sz val="10"/>
            <color rgb="FF000000"/>
            <rFont val="Calibri"/>
            <family val="2"/>
          </rPr>
          <t xml:space="preserve">3. Yellow (2) - 50-80%  
</t>
        </r>
        <r>
          <rPr>
            <sz val="10"/>
            <color rgb="FF000000"/>
            <rFont val="Calibri"/>
            <family val="2"/>
          </rPr>
          <t xml:space="preserve">4. Red (3) - 80-100%
</t>
        </r>
      </text>
    </comment>
  </commentList>
</comments>
</file>

<file path=xl/sharedStrings.xml><?xml version="1.0" encoding="utf-8"?>
<sst xmlns="http://schemas.openxmlformats.org/spreadsheetml/2006/main" count="118" uniqueCount="86">
  <si>
    <t>Comments</t>
  </si>
  <si>
    <t>Steps</t>
  </si>
  <si>
    <t>Ask for &amp; Pay the Check/Bill</t>
  </si>
  <si>
    <t>Give feedback</t>
  </si>
  <si>
    <t>Negative Emotion</t>
  </si>
  <si>
    <t>High TAT</t>
  </si>
  <si>
    <t>Opposes Intention</t>
  </si>
  <si>
    <t>Performance Undersupply Xray (PUX)</t>
  </si>
  <si>
    <t>Customer Journey Map  - PUX Guidelines</t>
  </si>
  <si>
    <t>2. Identify the Stakeholder/Customer</t>
  </si>
  <si>
    <t>Super Speciality Restaurant Journey ( Ethopian Cuisine Example)</t>
  </si>
  <si>
    <t>3. Identify the Stakeholder/Customer Intention (Pick 2 from the List of Intentions below)</t>
  </si>
  <si>
    <t>Fast (Agile) , Easy (Convenient), Frugal (Economic),  Secure(Safe)</t>
  </si>
  <si>
    <t>Fast &amp; Easy</t>
  </si>
  <si>
    <t>Trim Tab</t>
  </si>
  <si>
    <t>Decide on the order is the Trim Tab Step</t>
  </si>
  <si>
    <t>Travel to restaurant</t>
  </si>
  <si>
    <t>Wait to be seated</t>
  </si>
  <si>
    <t>After sitting wait for menu</t>
  </si>
  <si>
    <t>Decide on the order</t>
  </si>
  <si>
    <t>Order Main course</t>
  </si>
  <si>
    <t>Wait For food</t>
  </si>
  <si>
    <t>Eat Food </t>
  </si>
  <si>
    <t>Get waiter’s attention</t>
  </si>
  <si>
    <t>Order Dessert</t>
  </si>
  <si>
    <t>Diner Customer</t>
  </si>
  <si>
    <t>3 - Worst  Impact</t>
  </si>
  <si>
    <t>2 - Worse Impact</t>
  </si>
  <si>
    <t>1 - Bad Impact</t>
  </si>
  <si>
    <t>0 - No Impact</t>
  </si>
  <si>
    <t>2.Title Of Journey</t>
  </si>
  <si>
    <t xml:space="preserve">1. Identity a Functional Area/ Scenario preferably in your scope of responsibility </t>
  </si>
  <si>
    <t/>
  </si>
  <si>
    <t>'</t>
  </si>
  <si>
    <t>Get into car (or other transport)</t>
  </si>
  <si>
    <t>Park Car (if using personal vehicle)</t>
  </si>
  <si>
    <r>
      <t xml:space="preserve">PUX Rating - </t>
    </r>
    <r>
      <rPr>
        <sz val="16"/>
        <color rgb="FF660033"/>
        <rFont val="Calibri"/>
        <family val="2"/>
        <scheme val="minor"/>
      </rPr>
      <t xml:space="preserve"> Please enter (0/1/2/3)  as your rating for Each Step and in the 3 columns</t>
    </r>
  </si>
  <si>
    <t>Application Maintenance</t>
  </si>
  <si>
    <t>Fixing Bugs</t>
  </si>
  <si>
    <t>Senior  Developer / Architect</t>
  </si>
  <si>
    <t>Get the list of issues from ADO</t>
  </si>
  <si>
    <t>Analyze each issue</t>
  </si>
  <si>
    <t>Triage into issues for a week</t>
  </si>
  <si>
    <t>Pick the critical issues</t>
  </si>
  <si>
    <t>Reproduce it</t>
  </si>
  <si>
    <t>Identify root cause</t>
  </si>
  <si>
    <t>Check for workarounds / solutions</t>
  </si>
  <si>
    <t>Design the solution</t>
  </si>
  <si>
    <t>Document the solution on ADO</t>
  </si>
  <si>
    <t>Develop solution</t>
  </si>
  <si>
    <t>Test it</t>
  </si>
  <si>
    <t>Move to prod</t>
  </si>
  <si>
    <t>Dining in at a sit down restaurant</t>
  </si>
  <si>
    <t>S No</t>
  </si>
  <si>
    <t>Customer</t>
  </si>
  <si>
    <t>Short Desc</t>
  </si>
  <si>
    <t>How many?</t>
  </si>
  <si>
    <t>End User</t>
  </si>
  <si>
    <t>Business Ops</t>
  </si>
  <si>
    <t>IT Ops</t>
  </si>
  <si>
    <t>Project Manager</t>
  </si>
  <si>
    <t>Actual end user of solution</t>
  </si>
  <si>
    <t>People who manage the business</t>
  </si>
  <si>
    <t>IT team which manages operations</t>
  </si>
  <si>
    <t xml:space="preserve">INSTRUCTIONS TO FILL IN </t>
  </si>
  <si>
    <t>Step 1</t>
  </si>
  <si>
    <t>Step No</t>
  </si>
  <si>
    <t>Customer Journey Steps</t>
  </si>
  <si>
    <t>Step 2</t>
  </si>
  <si>
    <t>Step 3</t>
  </si>
  <si>
    <t>Step 4</t>
  </si>
  <si>
    <t>Step 5</t>
  </si>
  <si>
    <t>Step 6</t>
  </si>
  <si>
    <t>decide on the cuisine</t>
  </si>
  <si>
    <t>Look for restaurant.</t>
  </si>
  <si>
    <t>Fill in customer Journey steps in Column C</t>
  </si>
  <si>
    <t>Eat Dessert.</t>
  </si>
  <si>
    <t>Performance Undersupply Xray</t>
  </si>
  <si>
    <r>
      <t xml:space="preserve">The tool to discover the </t>
    </r>
    <r>
      <rPr>
        <b/>
        <sz val="11"/>
        <color theme="1"/>
        <rFont val="Calibri"/>
        <family val="2"/>
        <scheme val="minor"/>
      </rPr>
      <t xml:space="preserve">Trim Tab </t>
    </r>
    <r>
      <rPr>
        <sz val="11"/>
        <color theme="1"/>
        <rFont val="Calibri"/>
        <family val="2"/>
        <scheme val="minor"/>
      </rPr>
      <t>step in the customer journey.</t>
    </r>
  </si>
  <si>
    <t>There are 2 modes of using this tool</t>
  </si>
  <si>
    <t>Cmd mode</t>
  </si>
  <si>
    <t>Wiz mode</t>
  </si>
  <si>
    <t>In the wizard mode you can fill the customer journey guided my wizard</t>
  </si>
  <si>
    <t>All the attibutes are visible.</t>
  </si>
  <si>
    <t xml:space="preserve"> Click here to use command mode</t>
  </si>
  <si>
    <t xml:space="preserve"> Click here to use wizard mode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</si>
</sst>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7">
    <font>
      <sz val="11"/>
      <color theme="1"/>
      <name val="Calibri"/>
      <family val="2"/>
      <scheme val="minor"/>
    </font>
    <font>
      <sz val="11"/>
      <color rgb="FFCC0099"/>
      <name val="Calibri"/>
      <family val="2"/>
      <scheme val="minor"/>
    </font>
    <font>
      <b/>
      <sz val="11"/>
      <color rgb="FFCC0099"/>
      <name val="Calibri"/>
      <family val="2"/>
      <scheme val="minor"/>
    </font>
    <font>
      <b/>
      <sz val="20"/>
      <color rgb="FF660033"/>
      <name val="Calibri"/>
      <family val="2"/>
      <scheme val="minor"/>
    </font>
    <font>
      <sz val="11"/>
      <color rgb="FF002060"/>
      <name val="Calibri"/>
      <family val="2"/>
      <scheme val="minor"/>
    </font>
    <font>
      <b/>
      <sz val="12"/>
      <color rgb="FFCC0099"/>
      <name val="Calibri"/>
      <family val="2"/>
      <scheme val="minor"/>
    </font>
    <font>
      <sz val="12"/>
      <color rgb="FFCC0099"/>
      <name val="Calibri"/>
      <family val="2"/>
      <scheme val="minor"/>
    </font>
    <font>
      <sz val="12"/>
      <color theme="1"/>
      <name val=".AppleSystemUIFont"/>
    </font>
    <font>
      <sz val="12"/>
      <color rgb="FF660033"/>
      <name val="Calibri"/>
      <family val="2"/>
      <scheme val="minor"/>
    </font>
    <font>
      <b/>
      <sz val="16"/>
      <color rgb="FF660033"/>
      <name val="Calibri"/>
      <family val="2"/>
      <scheme val="minor"/>
    </font>
    <font>
      <sz val="16"/>
      <color rgb="FF660033"/>
      <name val="Calibri"/>
      <family val="2"/>
      <scheme val="minor"/>
    </font>
    <font>
      <sz val="10"/>
      <color rgb="FF000000"/>
      <name val="Tahoma"/>
      <family val="2"/>
    </font>
    <font>
      <b/>
      <sz val="10"/>
      <color rgb="FF000000"/>
      <name val="Tahoma"/>
      <family val="2"/>
    </font>
    <font>
      <sz val="10"/>
      <color rgb="FF000000"/>
      <name val="Calibri"/>
      <family val="2"/>
    </font>
    <font>
      <b/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rgb="FF993366"/>
      <name val="Calibri"/>
      <family val="2"/>
    </font>
    <font>
      <b/>
      <sz val="18"/>
      <color rgb="FF660033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8"/>
      <name val="Calibri"/>
      <family val="2"/>
      <scheme val="minor"/>
    </font>
    <font>
      <sz val="14"/>
      <color rgb="FF660033"/>
      <name val="Calibri"/>
      <family val="2"/>
      <scheme val="minor"/>
    </font>
    <font>
      <b/>
      <sz val="16"/>
      <color rgb="FF800000"/>
      <name val="Calibri"/>
      <family val="2"/>
    </font>
    <font>
      <b/>
      <sz val="18"/>
      <color rgb="FFCC0099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36"/>
      <color theme="1"/>
      <name val="Roboto Slab Black"/>
    </font>
    <font>
      <u/>
      <sz val="11"/>
      <color theme="1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660033"/>
        <bgColor indexed="64"/>
      </patternFill>
    </fill>
    <fill>
      <patternFill patternType="solid">
        <fgColor theme="5" tint="0.79998168889431442"/>
        <bgColor theme="5" tint="0.79998168889431442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</fills>
  <borders count="40">
    <border>
      <left/>
      <right/>
      <top/>
      <bottom/>
      <diagonal/>
    </border>
    <border>
      <left style="medium">
        <color rgb="FF660033"/>
      </left>
      <right/>
      <top style="medium">
        <color rgb="FF660033"/>
      </top>
      <bottom/>
      <diagonal/>
    </border>
    <border>
      <left style="medium">
        <color rgb="FF660033"/>
      </left>
      <right/>
      <top/>
      <bottom/>
      <diagonal/>
    </border>
    <border>
      <left style="medium">
        <color rgb="FF660033"/>
      </left>
      <right/>
      <top/>
      <bottom style="medium">
        <color rgb="FF66003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rgb="FF660033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660033"/>
      </left>
      <right/>
      <top style="thin">
        <color rgb="FF660033"/>
      </top>
      <bottom style="thin">
        <color rgb="FF660033"/>
      </bottom>
      <diagonal/>
    </border>
    <border>
      <left/>
      <right style="thin">
        <color rgb="FF660033"/>
      </right>
      <top style="thin">
        <color rgb="FF660033"/>
      </top>
      <bottom style="thin">
        <color rgb="FF660033"/>
      </bottom>
      <diagonal/>
    </border>
    <border>
      <left/>
      <right/>
      <top style="medium">
        <color rgb="FF660033"/>
      </top>
      <bottom/>
      <diagonal/>
    </border>
    <border>
      <left/>
      <right/>
      <top/>
      <bottom style="medium">
        <color rgb="FF660033"/>
      </bottom>
      <diagonal/>
    </border>
    <border>
      <left/>
      <right style="medium">
        <color rgb="FF660033"/>
      </right>
      <top/>
      <bottom style="medium">
        <color rgb="FF660033"/>
      </bottom>
      <diagonal/>
    </border>
    <border>
      <left style="medium">
        <color rgb="FF660033"/>
      </left>
      <right style="thin">
        <color rgb="FF660033"/>
      </right>
      <top style="medium">
        <color rgb="FF660033"/>
      </top>
      <bottom style="thin">
        <color rgb="FF660033"/>
      </bottom>
      <diagonal/>
    </border>
    <border>
      <left style="thin">
        <color rgb="FF660033"/>
      </left>
      <right style="medium">
        <color rgb="FF660033"/>
      </right>
      <top style="medium">
        <color rgb="FF660033"/>
      </top>
      <bottom style="thin">
        <color rgb="FF660033"/>
      </bottom>
      <diagonal/>
    </border>
    <border>
      <left style="medium">
        <color rgb="FF660033"/>
      </left>
      <right style="thin">
        <color rgb="FF660033"/>
      </right>
      <top style="thin">
        <color rgb="FF660033"/>
      </top>
      <bottom style="thin">
        <color rgb="FF660033"/>
      </bottom>
      <diagonal/>
    </border>
    <border>
      <left style="thin">
        <color rgb="FF660033"/>
      </left>
      <right style="medium">
        <color rgb="FF660033"/>
      </right>
      <top style="thin">
        <color rgb="FF660033"/>
      </top>
      <bottom style="thin">
        <color rgb="FF660033"/>
      </bottom>
      <diagonal/>
    </border>
    <border>
      <left style="medium">
        <color rgb="FF660033"/>
      </left>
      <right/>
      <top style="thin">
        <color rgb="FF660033"/>
      </top>
      <bottom/>
      <diagonal/>
    </border>
    <border>
      <left/>
      <right style="medium">
        <color rgb="FF660033"/>
      </right>
      <top style="thin">
        <color rgb="FF660033"/>
      </top>
      <bottom/>
      <diagonal/>
    </border>
    <border>
      <left style="medium">
        <color indexed="64"/>
      </left>
      <right style="thin">
        <color indexed="64"/>
      </right>
      <top style="medium">
        <color rgb="FF660033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rgb="FF660033"/>
      </top>
      <bottom style="thin">
        <color indexed="64"/>
      </bottom>
      <diagonal/>
    </border>
    <border>
      <left style="thin">
        <color indexed="64"/>
      </left>
      <right style="medium">
        <color rgb="FF660033"/>
      </right>
      <top style="medium">
        <color rgb="FF660033"/>
      </top>
      <bottom style="thin">
        <color indexed="64"/>
      </bottom>
      <diagonal/>
    </border>
    <border>
      <left style="thin">
        <color indexed="64"/>
      </left>
      <right style="medium">
        <color rgb="FF660033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rgb="FF66003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rgb="FF660033"/>
      </bottom>
      <diagonal/>
    </border>
    <border>
      <left style="thin">
        <color indexed="64"/>
      </left>
      <right style="medium">
        <color rgb="FF660033"/>
      </right>
      <top style="thin">
        <color indexed="64"/>
      </top>
      <bottom style="medium">
        <color rgb="FF660033"/>
      </bottom>
      <diagonal/>
    </border>
  </borders>
  <cellStyleXfs count="2">
    <xf numFmtId="0" fontId="0" fillId="0" borderId="0"/>
    <xf numFmtId="0" fontId="26" fillId="0" borderId="0" applyNumberFormat="0" applyFill="0" applyBorder="0" applyAlignment="0" applyProtection="0"/>
  </cellStyleXfs>
  <cellXfs count="95">
    <xf numFmtId="0" fontId="0" fillId="0" borderId="0" xfId="0"/>
    <xf numFmtId="0" fontId="0" fillId="0" borderId="0" xfId="0" applyAlignment="1">
      <alignment wrapText="1"/>
    </xf>
    <xf numFmtId="0" fontId="1" fillId="0" borderId="0" xfId="0" applyFont="1"/>
    <xf numFmtId="0" fontId="0" fillId="0" borderId="0" xfId="0" applyAlignment="1" applyProtection="1">
      <alignment wrapText="1"/>
      <protection locked="0"/>
    </xf>
    <xf numFmtId="0" fontId="1" fillId="0" borderId="0" xfId="0" applyFont="1" applyAlignment="1" applyProtection="1">
      <alignment wrapText="1"/>
      <protection locked="0"/>
    </xf>
    <xf numFmtId="0" fontId="1" fillId="0" borderId="0" xfId="0" applyFont="1" applyProtection="1">
      <protection locked="0"/>
    </xf>
    <xf numFmtId="0" fontId="2" fillId="0" borderId="0" xfId="0" applyFont="1" applyProtection="1">
      <protection locked="0"/>
    </xf>
    <xf numFmtId="0" fontId="5" fillId="0" borderId="0" xfId="0" applyFont="1" applyAlignment="1" applyProtection="1">
      <alignment wrapText="1"/>
      <protection locked="0"/>
    </xf>
    <xf numFmtId="0" fontId="6" fillId="0" borderId="0" xfId="0" applyFont="1" applyAlignment="1" applyProtection="1">
      <alignment wrapText="1"/>
      <protection locked="0"/>
    </xf>
    <xf numFmtId="0" fontId="7" fillId="0" borderId="0" xfId="0" applyFont="1" applyProtection="1">
      <protection locked="0"/>
    </xf>
    <xf numFmtId="0" fontId="3" fillId="0" borderId="0" xfId="0" applyFont="1" applyProtection="1"/>
    <xf numFmtId="0" fontId="1" fillId="0" borderId="0" xfId="0" applyFont="1" applyAlignment="1" applyProtection="1">
      <alignment wrapText="1"/>
    </xf>
    <xf numFmtId="0" fontId="1" fillId="0" borderId="0" xfId="0" applyFont="1" applyProtection="1"/>
    <xf numFmtId="0" fontId="6" fillId="0" borderId="0" xfId="0" applyFont="1" applyAlignment="1" applyProtection="1">
      <alignment wrapText="1"/>
    </xf>
    <xf numFmtId="0" fontId="0" fillId="0" borderId="0" xfId="0" applyProtection="1"/>
    <xf numFmtId="0" fontId="0" fillId="0" borderId="0" xfId="0" applyAlignment="1" applyProtection="1">
      <alignment wrapText="1"/>
    </xf>
    <xf numFmtId="0" fontId="0" fillId="0" borderId="0" xfId="0" applyAlignment="1" applyProtection="1">
      <alignment horizontal="center" vertical="top"/>
    </xf>
    <xf numFmtId="0" fontId="1" fillId="0" borderId="0" xfId="0" applyNumberFormat="1" applyFont="1" applyProtection="1"/>
    <xf numFmtId="0" fontId="1" fillId="0" borderId="4" xfId="0" applyFont="1" applyBorder="1" applyProtection="1"/>
    <xf numFmtId="0" fontId="1" fillId="3" borderId="5" xfId="0" applyFont="1" applyFill="1" applyBorder="1" applyAlignment="1">
      <alignment horizontal="center" wrapText="1"/>
    </xf>
    <xf numFmtId="0" fontId="7" fillId="0" borderId="0" xfId="0" applyFont="1" applyAlignment="1" applyProtection="1">
      <alignment wrapText="1"/>
      <protection locked="0"/>
    </xf>
    <xf numFmtId="0" fontId="14" fillId="0" borderId="0" xfId="0" applyFont="1" applyAlignment="1">
      <alignment horizontal="center"/>
    </xf>
    <xf numFmtId="0" fontId="14" fillId="0" borderId="0" xfId="0" applyFont="1"/>
    <xf numFmtId="0" fontId="14" fillId="0" borderId="0" xfId="0" applyFont="1" applyAlignment="1">
      <alignment horizontal="center" vertical="center"/>
    </xf>
    <xf numFmtId="0" fontId="6" fillId="0" borderId="0" xfId="0" applyFont="1" applyAlignment="1" applyProtection="1">
      <alignment horizontal="left" wrapText="1"/>
      <protection locked="0"/>
    </xf>
    <xf numFmtId="0" fontId="0" fillId="0" borderId="0" xfId="0" applyAlignment="1">
      <alignment vertical="top" wrapText="1"/>
    </xf>
    <xf numFmtId="0" fontId="15" fillId="0" borderId="0" xfId="0" applyFont="1" applyAlignment="1" applyProtection="1">
      <alignment vertical="top" wrapText="1"/>
      <protection locked="0"/>
    </xf>
    <xf numFmtId="0" fontId="17" fillId="0" borderId="0" xfId="0" applyFont="1" applyAlignment="1">
      <alignment horizontal="center"/>
    </xf>
    <xf numFmtId="0" fontId="19" fillId="0" borderId="0" xfId="0" applyFont="1" applyAlignment="1">
      <alignment horizontal="center"/>
    </xf>
    <xf numFmtId="0" fontId="2" fillId="0" borderId="15" xfId="0" applyFont="1" applyBorder="1" applyProtection="1">
      <protection locked="0"/>
    </xf>
    <xf numFmtId="0" fontId="1" fillId="0" borderId="16" xfId="0" applyFont="1" applyBorder="1" applyProtection="1"/>
    <xf numFmtId="0" fontId="1" fillId="0" borderId="17" xfId="0" applyFont="1" applyBorder="1" applyProtection="1">
      <protection locked="0"/>
    </xf>
    <xf numFmtId="0" fontId="0" fillId="4" borderId="0" xfId="0" applyFill="1"/>
    <xf numFmtId="0" fontId="1" fillId="4" borderId="0" xfId="0" applyFont="1" applyFill="1" applyBorder="1" applyProtection="1"/>
    <xf numFmtId="0" fontId="1" fillId="4" borderId="0" xfId="0" applyFont="1" applyFill="1" applyProtection="1">
      <protection locked="0"/>
    </xf>
    <xf numFmtId="0" fontId="1" fillId="4" borderId="0" xfId="0" applyFont="1" applyFill="1" applyProtection="1"/>
    <xf numFmtId="0" fontId="0" fillId="4" borderId="0" xfId="0" applyFill="1" applyProtection="1"/>
    <xf numFmtId="0" fontId="0" fillId="4" borderId="0" xfId="0" applyFill="1" applyAlignment="1" applyProtection="1">
      <alignment horizontal="center" vertical="top"/>
      <protection locked="0"/>
    </xf>
    <xf numFmtId="0" fontId="0" fillId="4" borderId="0" xfId="0" applyFill="1" applyProtection="1">
      <protection locked="0"/>
    </xf>
    <xf numFmtId="0" fontId="18" fillId="2" borderId="18" xfId="0" applyFont="1" applyFill="1" applyBorder="1" applyAlignment="1" applyProtection="1">
      <alignment horizontal="center" vertical="top" wrapText="1"/>
    </xf>
    <xf numFmtId="0" fontId="18" fillId="2" borderId="19" xfId="0" applyFont="1" applyFill="1" applyBorder="1" applyAlignment="1" applyProtection="1">
      <alignment horizontal="center" vertical="top" wrapText="1"/>
    </xf>
    <xf numFmtId="0" fontId="18" fillId="2" borderId="20" xfId="0" applyFont="1" applyFill="1" applyBorder="1" applyAlignment="1" applyProtection="1">
      <alignment horizontal="center" vertical="top" wrapText="1"/>
    </xf>
    <xf numFmtId="0" fontId="18" fillId="2" borderId="21" xfId="0" applyFont="1" applyFill="1" applyBorder="1" applyAlignment="1" applyProtection="1">
      <alignment horizontal="center" vertical="top" wrapText="1"/>
    </xf>
    <xf numFmtId="0" fontId="3" fillId="4" borderId="23" xfId="0" applyFont="1" applyFill="1" applyBorder="1" applyAlignment="1">
      <alignment horizontal="center" vertical="center"/>
    </xf>
    <xf numFmtId="0" fontId="3" fillId="4" borderId="22" xfId="0" applyFont="1" applyFill="1" applyBorder="1" applyAlignment="1">
      <alignment horizontal="center" vertical="center"/>
    </xf>
    <xf numFmtId="0" fontId="6" fillId="4" borderId="0" xfId="0" applyFont="1" applyFill="1" applyBorder="1" applyAlignment="1" applyProtection="1">
      <alignment horizontal="left" wrapText="1"/>
      <protection locked="0"/>
    </xf>
    <xf numFmtId="0" fontId="6" fillId="4" borderId="24" xfId="0" applyFont="1" applyFill="1" applyBorder="1" applyAlignment="1" applyProtection="1">
      <alignment horizontal="left" wrapText="1"/>
      <protection locked="0"/>
    </xf>
    <xf numFmtId="0" fontId="6" fillId="4" borderId="25" xfId="0" applyFont="1" applyFill="1" applyBorder="1" applyAlignment="1" applyProtection="1">
      <alignment horizontal="left" wrapText="1"/>
      <protection locked="0"/>
    </xf>
    <xf numFmtId="0" fontId="8" fillId="6" borderId="24" xfId="0" applyFont="1" applyFill="1" applyBorder="1" applyAlignment="1" applyProtection="1">
      <alignment wrapText="1"/>
    </xf>
    <xf numFmtId="0" fontId="8" fillId="6" borderId="0" xfId="0" applyFont="1" applyFill="1" applyBorder="1" applyAlignment="1" applyProtection="1">
      <alignment wrapText="1"/>
    </xf>
    <xf numFmtId="0" fontId="8" fillId="6" borderId="25" xfId="0" applyFont="1" applyFill="1" applyBorder="1" applyAlignment="1" applyProtection="1">
      <alignment wrapText="1"/>
    </xf>
    <xf numFmtId="0" fontId="21" fillId="6" borderId="1" xfId="0" applyFont="1" applyFill="1" applyBorder="1" applyAlignment="1" applyProtection="1"/>
    <xf numFmtId="0" fontId="21" fillId="6" borderId="2" xfId="0" applyFont="1" applyFill="1" applyBorder="1" applyAlignment="1" applyProtection="1"/>
    <xf numFmtId="0" fontId="21" fillId="6" borderId="3" xfId="0" applyFont="1" applyFill="1" applyBorder="1" applyAlignment="1" applyProtection="1"/>
    <xf numFmtId="0" fontId="4" fillId="0" borderId="0" xfId="0" applyFont="1" applyAlignment="1" applyProtection="1">
      <alignment horizontal="center"/>
      <protection locked="0"/>
    </xf>
    <xf numFmtId="0" fontId="15" fillId="0" borderId="0" xfId="0" applyFont="1" applyProtection="1">
      <protection locked="0"/>
    </xf>
    <xf numFmtId="0" fontId="15" fillId="0" borderId="0" xfId="0" quotePrefix="1" applyFont="1" applyProtection="1">
      <protection locked="0"/>
    </xf>
    <xf numFmtId="0" fontId="0" fillId="0" borderId="0" xfId="0" applyFont="1" applyAlignment="1" applyProtection="1">
      <alignment wrapText="1"/>
      <protection locked="0"/>
    </xf>
    <xf numFmtId="0" fontId="6" fillId="0" borderId="0" xfId="0" applyFont="1" applyBorder="1" applyAlignment="1" applyProtection="1">
      <alignment wrapText="1"/>
    </xf>
    <xf numFmtId="0" fontId="6" fillId="0" borderId="0" xfId="0" applyFont="1" applyBorder="1" applyAlignment="1" applyProtection="1">
      <alignment wrapText="1"/>
      <protection locked="0"/>
    </xf>
    <xf numFmtId="0" fontId="1" fillId="0" borderId="0" xfId="0" applyFont="1" applyBorder="1" applyAlignment="1" applyProtection="1">
      <alignment wrapText="1"/>
      <protection locked="0"/>
    </xf>
    <xf numFmtId="0" fontId="1" fillId="3" borderId="33" xfId="0" applyFont="1" applyFill="1" applyBorder="1" applyAlignment="1">
      <alignment horizontal="center" wrapText="1"/>
    </xf>
    <xf numFmtId="0" fontId="1" fillId="0" borderId="34" xfId="0" applyFont="1" applyBorder="1" applyProtection="1"/>
    <xf numFmtId="0" fontId="0" fillId="0" borderId="35" xfId="0" applyBorder="1" applyProtection="1"/>
    <xf numFmtId="0" fontId="0" fillId="0" borderId="36" xfId="0" applyBorder="1" applyProtection="1"/>
    <xf numFmtId="0" fontId="1" fillId="3" borderId="37" xfId="0" applyFont="1" applyFill="1" applyBorder="1" applyAlignment="1">
      <alignment horizontal="center" wrapText="1"/>
    </xf>
    <xf numFmtId="0" fontId="1" fillId="0" borderId="38" xfId="0" applyFont="1" applyBorder="1" applyProtection="1"/>
    <xf numFmtId="0" fontId="1" fillId="0" borderId="39" xfId="0" applyFont="1" applyBorder="1" applyProtection="1"/>
    <xf numFmtId="0" fontId="9" fillId="5" borderId="0" xfId="0" applyFont="1" applyFill="1" applyBorder="1" applyAlignment="1">
      <alignment horizontal="center" vertical="center"/>
    </xf>
    <xf numFmtId="0" fontId="23" fillId="0" borderId="0" xfId="0" applyFont="1" applyAlignment="1">
      <alignment horizontal="center"/>
    </xf>
    <xf numFmtId="0" fontId="24" fillId="0" borderId="0" xfId="0" applyFont="1"/>
    <xf numFmtId="0" fontId="25" fillId="0" borderId="0" xfId="0" applyFont="1"/>
    <xf numFmtId="0" fontId="24" fillId="0" borderId="0" xfId="0" applyFont="1" applyAlignment="1">
      <alignment vertical="center"/>
    </xf>
    <xf numFmtId="0" fontId="0" fillId="0" borderId="0" xfId="0" applyAlignment="1">
      <alignment vertical="center" wrapText="1"/>
    </xf>
    <xf numFmtId="0" fontId="26" fillId="0" borderId="0" xfId="1"/>
    <xf numFmtId="0" fontId="21" fillId="0" borderId="27" xfId="0" applyFont="1" applyBorder="1" applyAlignment="1" applyProtection="1">
      <alignment horizontal="center"/>
      <protection locked="0"/>
    </xf>
    <xf numFmtId="0" fontId="21" fillId="0" borderId="28" xfId="0" applyFont="1" applyBorder="1" applyAlignment="1" applyProtection="1">
      <alignment horizontal="center"/>
      <protection locked="0"/>
    </xf>
    <xf numFmtId="0" fontId="21" fillId="0" borderId="29" xfId="0" applyFont="1" applyBorder="1" applyAlignment="1" applyProtection="1">
      <alignment horizontal="center"/>
      <protection locked="0"/>
    </xf>
    <xf numFmtId="0" fontId="21" fillId="0" borderId="30" xfId="0" applyFont="1" applyBorder="1" applyAlignment="1" applyProtection="1">
      <alignment horizontal="center"/>
      <protection locked="0"/>
    </xf>
    <xf numFmtId="0" fontId="21" fillId="0" borderId="31" xfId="0" applyFont="1" applyBorder="1" applyAlignment="1" applyProtection="1">
      <alignment horizontal="center"/>
      <protection locked="0"/>
    </xf>
    <xf numFmtId="0" fontId="21" fillId="0" borderId="32" xfId="0" applyFont="1" applyBorder="1" applyAlignment="1" applyProtection="1">
      <alignment horizontal="center"/>
      <protection locked="0"/>
    </xf>
    <xf numFmtId="0" fontId="21" fillId="0" borderId="3" xfId="0" applyFont="1" applyBorder="1" applyAlignment="1" applyProtection="1">
      <alignment horizontal="center"/>
      <protection locked="0"/>
    </xf>
    <xf numFmtId="0" fontId="21" fillId="0" borderId="26" xfId="0" applyFont="1" applyBorder="1" applyAlignment="1" applyProtection="1">
      <alignment horizontal="center"/>
      <protection locked="0"/>
    </xf>
    <xf numFmtId="0" fontId="9" fillId="6" borderId="1" xfId="0" applyFont="1" applyFill="1" applyBorder="1" applyAlignment="1" applyProtection="1">
      <alignment horizontal="left" vertical="center" wrapText="1"/>
    </xf>
    <xf numFmtId="0" fontId="9" fillId="6" borderId="2" xfId="0" applyFont="1" applyFill="1" applyBorder="1" applyAlignment="1" applyProtection="1">
      <alignment horizontal="left" vertical="center"/>
    </xf>
    <xf numFmtId="0" fontId="9" fillId="6" borderId="3" xfId="0" applyFont="1" applyFill="1" applyBorder="1" applyAlignment="1" applyProtection="1">
      <alignment horizontal="left" vertical="center"/>
    </xf>
    <xf numFmtId="0" fontId="6" fillId="0" borderId="9" xfId="0" applyFont="1" applyBorder="1" applyAlignment="1" applyProtection="1">
      <alignment horizontal="left" wrapText="1"/>
      <protection locked="0"/>
    </xf>
    <xf numFmtId="0" fontId="6" fillId="0" borderId="10" xfId="0" applyFont="1" applyBorder="1" applyAlignment="1" applyProtection="1">
      <alignment horizontal="left" wrapText="1"/>
      <protection locked="0"/>
    </xf>
    <xf numFmtId="0" fontId="6" fillId="0" borderId="11" xfId="0" applyFont="1" applyBorder="1" applyAlignment="1" applyProtection="1">
      <alignment horizontal="left" wrapText="1"/>
      <protection locked="0"/>
    </xf>
    <xf numFmtId="0" fontId="6" fillId="0" borderId="12" xfId="0" applyFont="1" applyBorder="1" applyAlignment="1" applyProtection="1">
      <alignment horizontal="left" wrapText="1"/>
      <protection locked="0"/>
    </xf>
    <xf numFmtId="0" fontId="6" fillId="0" borderId="13" xfId="0" applyFont="1" applyBorder="1" applyAlignment="1" applyProtection="1">
      <alignment horizontal="left" wrapText="1"/>
      <protection locked="0"/>
    </xf>
    <xf numFmtId="0" fontId="6" fillId="0" borderId="14" xfId="0" applyFont="1" applyBorder="1" applyAlignment="1" applyProtection="1">
      <alignment horizontal="left" wrapText="1"/>
      <protection locked="0"/>
    </xf>
    <xf numFmtId="0" fontId="6" fillId="0" borderId="6" xfId="0" applyFont="1" applyBorder="1" applyAlignment="1" applyProtection="1">
      <alignment horizontal="left" wrapText="1"/>
      <protection locked="0"/>
    </xf>
    <xf numFmtId="0" fontId="6" fillId="0" borderId="7" xfId="0" applyFont="1" applyBorder="1" applyAlignment="1" applyProtection="1">
      <alignment horizontal="left" wrapText="1"/>
      <protection locked="0"/>
    </xf>
    <xf numFmtId="0" fontId="6" fillId="0" borderId="8" xfId="0" applyFont="1" applyBorder="1" applyAlignment="1" applyProtection="1">
      <alignment horizontal="left" wrapText="1"/>
      <protection locked="0"/>
    </xf>
  </cellXfs>
  <cellStyles count="2">
    <cellStyle name="Hyperlink" xfId="1" builtinId="8"/>
    <cellStyle name="Normal" xfId="0" builtinId="0"/>
  </cellStyles>
  <dxfs count="30"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color rgb="FFCC0099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color rgb="FFCC0099"/>
        <name val="Calibri"/>
        <family val="2"/>
        <scheme val="minor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color rgb="FFCC0099"/>
        <name val="Calibri"/>
        <family val="2"/>
        <scheme val="minor"/>
      </font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CC0099"/>
        <name val="Calibri"/>
        <family val="2"/>
        <scheme val="minor"/>
      </font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CC0099"/>
        <name val="Calibri"/>
        <family val="2"/>
        <scheme val="minor"/>
      </font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CC0099"/>
        <name val="Calibri"/>
        <family val="2"/>
        <scheme val="minor"/>
      </font>
      <protection locked="0" hidden="0"/>
    </dxf>
    <dxf>
      <border>
        <bottom style="medium">
          <color indexed="64"/>
        </bottom>
      </border>
    </dxf>
    <dxf>
      <font>
        <b/>
        <strike val="0"/>
        <outline val="0"/>
        <shadow val="0"/>
        <u val="none"/>
        <vertAlign val="baseline"/>
        <sz val="18"/>
        <color theme="0"/>
        <name val="Calibri"/>
        <family val="2"/>
        <scheme val="minor"/>
      </font>
      <fill>
        <patternFill patternType="solid">
          <fgColor indexed="64"/>
          <bgColor rgb="FF660033"/>
        </patternFill>
      </fill>
      <alignment horizontal="center" vertical="top" textRotation="0" wrapText="1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trike val="0"/>
        <outline val="0"/>
        <shadow val="0"/>
        <u val="none"/>
        <vertAlign val="baseline"/>
        <color theme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rgb="FF002060"/>
        <name val="Calibri"/>
        <family val="2"/>
        <scheme val="minor"/>
      </font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rgb="FF002060"/>
        <name val="Calibri"/>
        <family val="2"/>
        <scheme val="minor"/>
      </font>
      <protection locked="0" hidden="0"/>
    </dxf>
    <dxf>
      <border>
        <bottom style="medium">
          <color indexed="64"/>
        </bottom>
      </border>
    </dxf>
    <dxf>
      <font>
        <b/>
        <strike val="0"/>
        <outline val="0"/>
        <shadow val="0"/>
        <u val="none"/>
        <vertAlign val="baseline"/>
        <sz val="18"/>
        <color theme="0"/>
        <name val="Calibri"/>
        <family val="2"/>
        <scheme val="minor"/>
      </font>
      <fill>
        <patternFill patternType="solid">
          <fgColor indexed="64"/>
          <bgColor rgb="FF660033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strike val="0"/>
        <outline val="0"/>
        <shadow val="0"/>
        <u val="none"/>
        <vertAlign val="baseline"/>
        <color rgb="FFCC0099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color rgb="FFCC0099"/>
        <name val="Calibri"/>
        <family val="2"/>
        <scheme val="minor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color rgb="FFCC0099"/>
        <name val="Calibri"/>
        <family val="2"/>
        <scheme val="minor"/>
      </font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CC0099"/>
        <name val="Calibri"/>
        <family val="2"/>
        <scheme val="minor"/>
      </font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CC0099"/>
        <name val="Calibri"/>
        <family val="2"/>
        <scheme val="minor"/>
      </font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CC0099"/>
        <name val="Calibri"/>
        <family val="2"/>
        <scheme val="none"/>
      </font>
      <protection locked="0" hidden="0"/>
    </dxf>
    <dxf>
      <border>
        <bottom style="medium">
          <color rgb="FF000000"/>
        </bottom>
      </border>
    </dxf>
    <dxf>
      <font>
        <b/>
        <strike val="0"/>
        <outline val="0"/>
        <shadow val="0"/>
        <u val="none"/>
        <vertAlign val="baseline"/>
        <sz val="18"/>
        <color theme="0"/>
        <name val="Calibri"/>
        <family val="2"/>
        <scheme val="minor"/>
      </font>
      <fill>
        <patternFill patternType="solid">
          <fgColor indexed="64"/>
          <bgColor rgb="FF660033"/>
        </patternFill>
      </fill>
      <alignment horizontal="center" vertical="top" textRotation="0" wrapText="1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trike val="0"/>
        <outline val="0"/>
        <shadow val="0"/>
        <u val="none"/>
        <vertAlign val="baseline"/>
        <color theme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rgb="FF002060"/>
        <name val="Calibri"/>
        <family val="2"/>
        <scheme val="minor"/>
      </font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rgb="FF002060"/>
        <name val="Calibri"/>
        <family val="2"/>
        <scheme val="none"/>
      </font>
      <protection locked="0" hidden="0"/>
    </dxf>
    <dxf>
      <border>
        <bottom style="medium">
          <color rgb="FF000000"/>
        </bottom>
      </border>
    </dxf>
    <dxf>
      <font>
        <b/>
        <strike val="0"/>
        <outline val="0"/>
        <shadow val="0"/>
        <u val="none"/>
        <vertAlign val="baseline"/>
        <sz val="18"/>
        <color theme="0"/>
        <name val="Calibri"/>
        <family val="2"/>
        <scheme val="minor"/>
      </font>
      <fill>
        <patternFill patternType="solid">
          <fgColor indexed="64"/>
          <bgColor rgb="FF660033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</dxfs>
  <tableStyles count="0" defaultTableStyle="TableStyleMedium2" defaultPivotStyle="PivotStyleLight16"/>
  <colors>
    <mruColors>
      <color rgb="FFCC0099"/>
      <color rgb="FFFF99FF"/>
      <color rgb="FF660033"/>
      <color rgb="FFFFDD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838200</xdr:colOff>
          <xdr:row>27</xdr:row>
          <xdr:rowOff>161925</xdr:rowOff>
        </xdr:from>
        <xdr:to>
          <xdr:col>10</xdr:col>
          <xdr:colOff>4191000</xdr:colOff>
          <xdr:row>30</xdr:row>
          <xdr:rowOff>104775</xdr:rowOff>
        </xdr:to>
        <xdr:sp macro="" textlink="">
          <xdr:nvSpPr>
            <xdr:cNvPr id="6145" name="Button 1" descr="Create Customer Journey Map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600" b="1" i="0" u="none" strike="noStrike" baseline="0">
                  <a:solidFill>
                    <a:srgbClr val="993366"/>
                  </a:solidFill>
                  <a:latin typeface="Calibri"/>
                  <a:cs typeface="Calibri"/>
                </a:rPr>
                <a:t>Click here for a View of the Customer  Journey Map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28575</xdr:colOff>
          <xdr:row>16</xdr:row>
          <xdr:rowOff>133350</xdr:rowOff>
        </xdr:from>
        <xdr:to>
          <xdr:col>10</xdr:col>
          <xdr:colOff>4191000</xdr:colOff>
          <xdr:row>18</xdr:row>
          <xdr:rowOff>161925</xdr:rowOff>
        </xdr:to>
        <xdr:sp macro="" textlink="">
          <xdr:nvSpPr>
            <xdr:cNvPr id="6146" name="Nemo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600" b="1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Rate Negative Emotion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19</xdr:row>
          <xdr:rowOff>123825</xdr:rowOff>
        </xdr:from>
        <xdr:to>
          <xdr:col>10</xdr:col>
          <xdr:colOff>4181475</xdr:colOff>
          <xdr:row>21</xdr:row>
          <xdr:rowOff>95250</xdr:rowOff>
        </xdr:to>
        <xdr:sp macro="" textlink="">
          <xdr:nvSpPr>
            <xdr:cNvPr id="6147" name="TAT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1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600" b="1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Fill in TAT [Turn Around Time]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28575</xdr:colOff>
          <xdr:row>22</xdr:row>
          <xdr:rowOff>28575</xdr:rowOff>
        </xdr:from>
        <xdr:to>
          <xdr:col>10</xdr:col>
          <xdr:colOff>4200525</xdr:colOff>
          <xdr:row>23</xdr:row>
          <xdr:rowOff>133350</xdr:rowOff>
        </xdr:to>
        <xdr:sp macro="" textlink="">
          <xdr:nvSpPr>
            <xdr:cNvPr id="6148" name="Oint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1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600" b="1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Rate  Opposes Intention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28575</xdr:colOff>
          <xdr:row>24</xdr:row>
          <xdr:rowOff>161925</xdr:rowOff>
        </xdr:from>
        <xdr:to>
          <xdr:col>10</xdr:col>
          <xdr:colOff>4210050</xdr:colOff>
          <xdr:row>26</xdr:row>
          <xdr:rowOff>38100</xdr:rowOff>
        </xdr:to>
        <xdr:sp macro="" textlink="">
          <xdr:nvSpPr>
            <xdr:cNvPr id="6149" name="Trim Tab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1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600" b="1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Click here to reveal the Trim Tab step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28</xdr:row>
          <xdr:rowOff>152400</xdr:rowOff>
        </xdr:from>
        <xdr:to>
          <xdr:col>10</xdr:col>
          <xdr:colOff>4191000</xdr:colOff>
          <xdr:row>31</xdr:row>
          <xdr:rowOff>95250</xdr:rowOff>
        </xdr:to>
        <xdr:sp macro="" textlink="">
          <xdr:nvSpPr>
            <xdr:cNvPr id="6152" name="Customer Journey" descr="Create Customer Journey Map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00000000-0008-0000-0100-00000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600" b="1" i="0" u="none" strike="noStrike" baseline="0">
                  <a:solidFill>
                    <a:srgbClr val="993366"/>
                  </a:solidFill>
                  <a:latin typeface="Calibri"/>
                  <a:cs typeface="Calibri"/>
                </a:rPr>
                <a:t>Click here for a View of the Customer  Journey Map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431800</xdr:colOff>
      <xdr:row>81</xdr:row>
      <xdr:rowOff>25400</xdr:rowOff>
    </xdr:from>
    <xdr:to>
      <xdr:col>11</xdr:col>
      <xdr:colOff>1701800</xdr:colOff>
      <xdr:row>87</xdr:row>
      <xdr:rowOff>152400</xdr:rowOff>
    </xdr:to>
    <xdr:sp macro="" textlink="">
      <xdr:nvSpPr>
        <xdr:cNvPr id="8" name="Rounded Rectangl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15875000" y="1587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12</xdr:col>
      <xdr:colOff>342900</xdr:colOff>
      <xdr:row>94</xdr:row>
      <xdr:rowOff>88900</xdr:rowOff>
    </xdr:from>
    <xdr:to>
      <xdr:col>14</xdr:col>
      <xdr:colOff>266700</xdr:colOff>
      <xdr:row>101</xdr:row>
      <xdr:rowOff>25400</xdr:rowOff>
    </xdr:to>
    <xdr:sp macro="" textlink="">
      <xdr:nvSpPr>
        <xdr:cNvPr id="9" name="Rounded Rectangl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/>
      </xdr:nvSpPr>
      <xdr:spPr>
        <a:xfrm>
          <a:off x="18415000" y="1841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16</xdr:col>
      <xdr:colOff>190500</xdr:colOff>
      <xdr:row>107</xdr:row>
      <xdr:rowOff>152400</xdr:rowOff>
    </xdr:from>
    <xdr:to>
      <xdr:col>18</xdr:col>
      <xdr:colOff>114300</xdr:colOff>
      <xdr:row>114</xdr:row>
      <xdr:rowOff>88900</xdr:rowOff>
    </xdr:to>
    <xdr:sp macro="" textlink="">
      <xdr:nvSpPr>
        <xdr:cNvPr id="10" name="Rounded Rectangle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>
        <a:xfrm>
          <a:off x="20955000" y="2095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20</xdr:col>
      <xdr:colOff>38100</xdr:colOff>
      <xdr:row>121</xdr:row>
      <xdr:rowOff>25400</xdr:rowOff>
    </xdr:from>
    <xdr:to>
      <xdr:col>21</xdr:col>
      <xdr:colOff>635000</xdr:colOff>
      <xdr:row>127</xdr:row>
      <xdr:rowOff>152400</xdr:rowOff>
    </xdr:to>
    <xdr:sp macro="" textlink="">
      <xdr:nvSpPr>
        <xdr:cNvPr id="11" name="Rounded Rectangle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/>
      </xdr:nvSpPr>
      <xdr:spPr>
        <a:xfrm>
          <a:off x="23495000" y="2349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23</xdr:col>
      <xdr:colOff>558800</xdr:colOff>
      <xdr:row>134</xdr:row>
      <xdr:rowOff>88900</xdr:rowOff>
    </xdr:from>
    <xdr:to>
      <xdr:col>25</xdr:col>
      <xdr:colOff>482600</xdr:colOff>
      <xdr:row>141</xdr:row>
      <xdr:rowOff>25400</xdr:rowOff>
    </xdr:to>
    <xdr:sp macro="" textlink="">
      <xdr:nvSpPr>
        <xdr:cNvPr id="12" name="Rounded Rectangle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/>
      </xdr:nvSpPr>
      <xdr:spPr>
        <a:xfrm>
          <a:off x="26035000" y="2603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27</xdr:col>
      <xdr:colOff>406400</xdr:colOff>
      <xdr:row>147</xdr:row>
      <xdr:rowOff>152400</xdr:rowOff>
    </xdr:from>
    <xdr:to>
      <xdr:col>29</xdr:col>
      <xdr:colOff>330200</xdr:colOff>
      <xdr:row>154</xdr:row>
      <xdr:rowOff>88900</xdr:rowOff>
    </xdr:to>
    <xdr:sp macro="" textlink="">
      <xdr:nvSpPr>
        <xdr:cNvPr id="13" name="Rounded Rectangle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/>
      </xdr:nvSpPr>
      <xdr:spPr>
        <a:xfrm>
          <a:off x="28575000" y="2857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31</xdr:col>
      <xdr:colOff>254000</xdr:colOff>
      <xdr:row>161</xdr:row>
      <xdr:rowOff>25400</xdr:rowOff>
    </xdr:from>
    <xdr:to>
      <xdr:col>33</xdr:col>
      <xdr:colOff>177800</xdr:colOff>
      <xdr:row>167</xdr:row>
      <xdr:rowOff>152400</xdr:rowOff>
    </xdr:to>
    <xdr:sp macro="" textlink="">
      <xdr:nvSpPr>
        <xdr:cNvPr id="14" name="Rounded Rectangle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/>
      </xdr:nvSpPr>
      <xdr:spPr>
        <a:xfrm>
          <a:off x="31115000" y="3111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35</xdr:col>
      <xdr:colOff>101600</xdr:colOff>
      <xdr:row>174</xdr:row>
      <xdr:rowOff>88900</xdr:rowOff>
    </xdr:from>
    <xdr:to>
      <xdr:col>37</xdr:col>
      <xdr:colOff>25400</xdr:colOff>
      <xdr:row>181</xdr:row>
      <xdr:rowOff>25400</xdr:rowOff>
    </xdr:to>
    <xdr:sp macro="" textlink="">
      <xdr:nvSpPr>
        <xdr:cNvPr id="15" name="Rounded Rectangle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/>
      </xdr:nvSpPr>
      <xdr:spPr>
        <a:xfrm>
          <a:off x="33655000" y="3365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38</xdr:col>
      <xdr:colOff>622300</xdr:colOff>
      <xdr:row>187</xdr:row>
      <xdr:rowOff>152400</xdr:rowOff>
    </xdr:from>
    <xdr:to>
      <xdr:col>40</xdr:col>
      <xdr:colOff>546100</xdr:colOff>
      <xdr:row>194</xdr:row>
      <xdr:rowOff>88900</xdr:rowOff>
    </xdr:to>
    <xdr:sp macro="" textlink="">
      <xdr:nvSpPr>
        <xdr:cNvPr id="16" name="Rounded Rectangle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SpPr/>
      </xdr:nvSpPr>
      <xdr:spPr>
        <a:xfrm>
          <a:off x="36195000" y="3619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42</xdr:col>
      <xdr:colOff>469900</xdr:colOff>
      <xdr:row>201</xdr:row>
      <xdr:rowOff>25400</xdr:rowOff>
    </xdr:from>
    <xdr:to>
      <xdr:col>44</xdr:col>
      <xdr:colOff>393700</xdr:colOff>
      <xdr:row>207</xdr:row>
      <xdr:rowOff>152400</xdr:rowOff>
    </xdr:to>
    <xdr:sp macro="" textlink="">
      <xdr:nvSpPr>
        <xdr:cNvPr id="17" name="Rounded Rectangle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/>
      </xdr:nvSpPr>
      <xdr:spPr>
        <a:xfrm>
          <a:off x="38735000" y="3873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11</xdr:col>
      <xdr:colOff>431800</xdr:colOff>
      <xdr:row>81</xdr:row>
      <xdr:rowOff>25400</xdr:rowOff>
    </xdr:from>
    <xdr:to>
      <xdr:col>11</xdr:col>
      <xdr:colOff>1701800</xdr:colOff>
      <xdr:row>87</xdr:row>
      <xdr:rowOff>152400</xdr:rowOff>
    </xdr:to>
    <xdr:sp macro="" textlink="">
      <xdr:nvSpPr>
        <xdr:cNvPr id="24" name="Rounded Rectangle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SpPr/>
      </xdr:nvSpPr>
      <xdr:spPr>
        <a:xfrm>
          <a:off x="15875000" y="1587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12</xdr:col>
      <xdr:colOff>342900</xdr:colOff>
      <xdr:row>94</xdr:row>
      <xdr:rowOff>88900</xdr:rowOff>
    </xdr:from>
    <xdr:to>
      <xdr:col>14</xdr:col>
      <xdr:colOff>266700</xdr:colOff>
      <xdr:row>101</xdr:row>
      <xdr:rowOff>25400</xdr:rowOff>
    </xdr:to>
    <xdr:sp macro="" textlink="">
      <xdr:nvSpPr>
        <xdr:cNvPr id="25" name="Rounded Rectangle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SpPr/>
      </xdr:nvSpPr>
      <xdr:spPr>
        <a:xfrm>
          <a:off x="18415000" y="1841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16</xdr:col>
      <xdr:colOff>190500</xdr:colOff>
      <xdr:row>107</xdr:row>
      <xdr:rowOff>152400</xdr:rowOff>
    </xdr:from>
    <xdr:to>
      <xdr:col>18</xdr:col>
      <xdr:colOff>114300</xdr:colOff>
      <xdr:row>114</xdr:row>
      <xdr:rowOff>88900</xdr:rowOff>
    </xdr:to>
    <xdr:sp macro="" textlink="">
      <xdr:nvSpPr>
        <xdr:cNvPr id="26" name="Rounded Rectangle 25">
          <a:extLs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SpPr/>
      </xdr:nvSpPr>
      <xdr:spPr>
        <a:xfrm>
          <a:off x="20955000" y="2095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20</xdr:col>
      <xdr:colOff>38100</xdr:colOff>
      <xdr:row>121</xdr:row>
      <xdr:rowOff>25400</xdr:rowOff>
    </xdr:from>
    <xdr:to>
      <xdr:col>21</xdr:col>
      <xdr:colOff>635000</xdr:colOff>
      <xdr:row>127</xdr:row>
      <xdr:rowOff>152400</xdr:rowOff>
    </xdr:to>
    <xdr:sp macro="" textlink="">
      <xdr:nvSpPr>
        <xdr:cNvPr id="27" name="Rounded Rectangle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SpPr/>
      </xdr:nvSpPr>
      <xdr:spPr>
        <a:xfrm>
          <a:off x="23495000" y="2349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23</xdr:col>
      <xdr:colOff>558800</xdr:colOff>
      <xdr:row>134</xdr:row>
      <xdr:rowOff>88900</xdr:rowOff>
    </xdr:from>
    <xdr:to>
      <xdr:col>25</xdr:col>
      <xdr:colOff>482600</xdr:colOff>
      <xdr:row>141</xdr:row>
      <xdr:rowOff>25400</xdr:rowOff>
    </xdr:to>
    <xdr:sp macro="" textlink="">
      <xdr:nvSpPr>
        <xdr:cNvPr id="28" name="Rounded Rectangle 27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SpPr/>
      </xdr:nvSpPr>
      <xdr:spPr>
        <a:xfrm>
          <a:off x="26035000" y="2603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27</xdr:col>
      <xdr:colOff>406400</xdr:colOff>
      <xdr:row>147</xdr:row>
      <xdr:rowOff>152400</xdr:rowOff>
    </xdr:from>
    <xdr:to>
      <xdr:col>29</xdr:col>
      <xdr:colOff>330200</xdr:colOff>
      <xdr:row>154</xdr:row>
      <xdr:rowOff>88900</xdr:rowOff>
    </xdr:to>
    <xdr:sp macro="" textlink="">
      <xdr:nvSpPr>
        <xdr:cNvPr id="29" name="Rounded Rectangle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SpPr/>
      </xdr:nvSpPr>
      <xdr:spPr>
        <a:xfrm>
          <a:off x="28575000" y="2857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31</xdr:col>
      <xdr:colOff>254000</xdr:colOff>
      <xdr:row>161</xdr:row>
      <xdr:rowOff>25400</xdr:rowOff>
    </xdr:from>
    <xdr:to>
      <xdr:col>33</xdr:col>
      <xdr:colOff>177800</xdr:colOff>
      <xdr:row>167</xdr:row>
      <xdr:rowOff>152400</xdr:rowOff>
    </xdr:to>
    <xdr:sp macro="" textlink="">
      <xdr:nvSpPr>
        <xdr:cNvPr id="30" name="Rounded Rectangle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SpPr/>
      </xdr:nvSpPr>
      <xdr:spPr>
        <a:xfrm>
          <a:off x="31115000" y="3111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35</xdr:col>
      <xdr:colOff>101600</xdr:colOff>
      <xdr:row>174</xdr:row>
      <xdr:rowOff>88900</xdr:rowOff>
    </xdr:from>
    <xdr:to>
      <xdr:col>37</xdr:col>
      <xdr:colOff>25400</xdr:colOff>
      <xdr:row>181</xdr:row>
      <xdr:rowOff>25400</xdr:rowOff>
    </xdr:to>
    <xdr:sp macro="" textlink="">
      <xdr:nvSpPr>
        <xdr:cNvPr id="31" name="Rounded Rectangle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SpPr/>
      </xdr:nvSpPr>
      <xdr:spPr>
        <a:xfrm>
          <a:off x="33655000" y="3365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38</xdr:col>
      <xdr:colOff>622300</xdr:colOff>
      <xdr:row>187</xdr:row>
      <xdr:rowOff>152400</xdr:rowOff>
    </xdr:from>
    <xdr:to>
      <xdr:col>40</xdr:col>
      <xdr:colOff>546100</xdr:colOff>
      <xdr:row>194</xdr:row>
      <xdr:rowOff>88900</xdr:rowOff>
    </xdr:to>
    <xdr:sp macro="" textlink="">
      <xdr:nvSpPr>
        <xdr:cNvPr id="32" name="Rounded Rectangle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SpPr/>
      </xdr:nvSpPr>
      <xdr:spPr>
        <a:xfrm>
          <a:off x="36195000" y="3619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42</xdr:col>
      <xdr:colOff>469900</xdr:colOff>
      <xdr:row>201</xdr:row>
      <xdr:rowOff>25400</xdr:rowOff>
    </xdr:from>
    <xdr:to>
      <xdr:col>44</xdr:col>
      <xdr:colOff>393700</xdr:colOff>
      <xdr:row>207</xdr:row>
      <xdr:rowOff>152400</xdr:rowOff>
    </xdr:to>
    <xdr:sp macro="" textlink="">
      <xdr:nvSpPr>
        <xdr:cNvPr id="33" name="Rounded Rectangle 32"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SpPr/>
      </xdr:nvSpPr>
      <xdr:spPr>
        <a:xfrm>
          <a:off x="38735000" y="3873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838200</xdr:colOff>
          <xdr:row>27</xdr:row>
          <xdr:rowOff>161925</xdr:rowOff>
        </xdr:from>
        <xdr:to>
          <xdr:col>10</xdr:col>
          <xdr:colOff>4191000</xdr:colOff>
          <xdr:row>30</xdr:row>
          <xdr:rowOff>104775</xdr:rowOff>
        </xdr:to>
        <xdr:sp macro="" textlink="">
          <xdr:nvSpPr>
            <xdr:cNvPr id="1028" name="Customer Journey" descr="Create Customer Journey Map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600" b="1" i="0" u="none" strike="noStrike" baseline="0">
                  <a:solidFill>
                    <a:srgbClr val="993366"/>
                  </a:solidFill>
                  <a:latin typeface="Calibri"/>
                  <a:cs typeface="Calibri"/>
                </a:rPr>
                <a:t>Click here for a View of the Customer  Journey Map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28575</xdr:colOff>
          <xdr:row>16</xdr:row>
          <xdr:rowOff>133350</xdr:rowOff>
        </xdr:from>
        <xdr:to>
          <xdr:col>10</xdr:col>
          <xdr:colOff>4191000</xdr:colOff>
          <xdr:row>18</xdr:row>
          <xdr:rowOff>161925</xdr:rowOff>
        </xdr:to>
        <xdr:sp macro="" textlink="">
          <xdr:nvSpPr>
            <xdr:cNvPr id="1046" name="Nemo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2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600" b="1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Rate Negative Emotion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19</xdr:row>
          <xdr:rowOff>123825</xdr:rowOff>
        </xdr:from>
        <xdr:to>
          <xdr:col>10</xdr:col>
          <xdr:colOff>4181475</xdr:colOff>
          <xdr:row>21</xdr:row>
          <xdr:rowOff>95250</xdr:rowOff>
        </xdr:to>
        <xdr:sp macro="" textlink="">
          <xdr:nvSpPr>
            <xdr:cNvPr id="1048" name="TAT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2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600" b="1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Fill in TAT [Turn Around Time]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28575</xdr:colOff>
          <xdr:row>22</xdr:row>
          <xdr:rowOff>28575</xdr:rowOff>
        </xdr:from>
        <xdr:to>
          <xdr:col>10</xdr:col>
          <xdr:colOff>4200525</xdr:colOff>
          <xdr:row>23</xdr:row>
          <xdr:rowOff>133350</xdr:rowOff>
        </xdr:to>
        <xdr:sp macro="" textlink="">
          <xdr:nvSpPr>
            <xdr:cNvPr id="1049" name="Oint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2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600" b="1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Rate  Opposes Intention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28575</xdr:colOff>
          <xdr:row>24</xdr:row>
          <xdr:rowOff>161925</xdr:rowOff>
        </xdr:from>
        <xdr:to>
          <xdr:col>10</xdr:col>
          <xdr:colOff>4210050</xdr:colOff>
          <xdr:row>26</xdr:row>
          <xdr:rowOff>38100</xdr:rowOff>
        </xdr:to>
        <xdr:sp macro="" textlink="">
          <xdr:nvSpPr>
            <xdr:cNvPr id="1050" name="Trim Tab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2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600" b="1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Click here to reveal the Trim Tab step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F8DDB21-C6F3-40C4-B031-A29A11F8DA7E}" name="Table4" displayName="Table4" ref="D10:F12" headerRowCount="0" totalsRowShown="0">
  <tableColumns count="3">
    <tableColumn id="1" xr3:uid="{337FEFF7-87BE-471C-AFAA-624FC3ED878E}" name="Column1" headerRowDxfId="29"/>
    <tableColumn id="2" xr3:uid="{2D93658C-7593-4A33-951C-59D959C9667D}" name="Column2"/>
    <tableColumn id="3" xr3:uid="{6462013B-1460-4525-9B09-D1FF18D13635}" name="Column3" headerRowCellStyle="Hyperlink"/>
  </tableColumns>
  <tableStyleInfo name="TableStyleMedium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41828ED-D0BD-4052-84D3-B7C71914A5B0}" name="Table17" displayName="Table17" ref="B15:C57" totalsRowShown="0" headerRowDxfId="28" dataDxfId="26" headerRowBorderDxfId="27">
  <tableColumns count="2">
    <tableColumn id="1" xr3:uid="{1C10B1EC-EEE8-4F77-863F-196E321C7FEC}" name="Step No" dataDxfId="25"/>
    <tableColumn id="2" xr3:uid="{FCC380E8-A346-462F-AB30-74E031F8639A}" name="Customer Journey Steps" dataDxfId="24"/>
  </tableColumns>
  <tableStyleInfo name="TableStyleLight1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AA108F30-3245-436D-BF16-FF0BC2BF16BF}" name="Table28" displayName="Table28" ref="D15:H57" totalsRowShown="0" headerRowDxfId="23" dataDxfId="21" headerRowBorderDxfId="22">
  <tableColumns count="5">
    <tableColumn id="2" xr3:uid="{C68FC728-D63E-4A77-B301-7616E42C6707}" name="Negative Emotion" dataDxfId="20"/>
    <tableColumn id="3" xr3:uid="{DDEBDC61-AD96-414B-A072-EC1D06DA57F8}" name="High TAT" dataDxfId="19"/>
    <tableColumn id="4" xr3:uid="{4D581985-8AA1-4223-AA92-3E588929D12D}" name="Opposes Intention" dataDxfId="18"/>
    <tableColumn id="5" xr3:uid="{05D36C42-C69B-4069-ABE4-6C0020CE7CE0}" name="Trim Tab" dataDxfId="17">
      <calculatedColumnFormula>AVERAGE(Table28[[#This Row],[Negative Emotion]:[Opposes Intention]])</calculatedColumnFormula>
    </tableColumn>
    <tableColumn id="6" xr3:uid="{5A3EE0AA-DD72-482C-AAB9-C3C17CC54922}" name="Comments" dataDxfId="16"/>
  </tableColumns>
  <tableStyleInfo name="TableStyleLight1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08707AA-3B5A-4F8A-BB1D-16E7E220C02C}" name="Table1" displayName="Table1" ref="B15:C57" totalsRowShown="0" headerRowDxfId="15" dataDxfId="13" headerRowBorderDxfId="14">
  <tableColumns count="2">
    <tableColumn id="1" xr3:uid="{A1834E27-94EC-4053-8656-C0CB318E128C}" name="Step No" dataDxfId="12"/>
    <tableColumn id="2" xr3:uid="{D6C2D0AD-C2F2-4490-B0EB-51ECE27D70FE}" name="Customer Journey Steps" dataDxfId="11"/>
  </tableColumns>
  <tableStyleInfo name="TableStyleLight1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1E96DA-2FC8-4379-93F2-4D648DEA3C15}" name="Table2" displayName="Table2" ref="D15:H57" totalsRowShown="0" headerRowDxfId="10" dataDxfId="8" headerRowBorderDxfId="9">
  <tableColumns count="5">
    <tableColumn id="2" xr3:uid="{4DCD6222-9668-4BE9-B0E8-A614070CB77C}" name="Negative Emotion" dataDxfId="7"/>
    <tableColumn id="3" xr3:uid="{DFC55628-5C2D-426C-9D40-7F02EDA38FB4}" name="High TAT" dataDxfId="6"/>
    <tableColumn id="4" xr3:uid="{3F4F6365-C778-4018-A452-6FAD76496835}" name="Opposes Intention" dataDxfId="5"/>
    <tableColumn id="5" xr3:uid="{41C8534F-B9D3-4A09-ACE1-1BDD1A45149B}" name="Trim Tab" dataDxfId="4">
      <calculatedColumnFormula>AVERAGE(Table28[[#This Row],[Negative Emotion]:[Opposes Intention]])</calculatedColumnFormula>
    </tableColumn>
    <tableColumn id="6" xr3:uid="{BE700835-D18A-4DE3-A809-981BE1CE6788}" name="Comments" dataDxfId="3"/>
  </tableColumns>
  <tableStyleInfo name="TableStyleLight1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E1822D6-32E9-4C29-B910-06E0DBE8C3EF}" name="Table3" displayName="Table3" ref="B3:E17" totalsRowShown="0">
  <tableColumns count="4">
    <tableColumn id="1" xr3:uid="{56CE2CD0-A657-4577-9D13-53C4BC2469F6}" name="S No"/>
    <tableColumn id="2" xr3:uid="{FD6141F9-499A-4FC1-ADF5-ADF0A7436A17}" name="Customer" dataDxfId="2"/>
    <tableColumn id="3" xr3:uid="{BE758C1A-6FEB-4896-AB70-36CACB0CF51B}" name="Short Desc" dataDxfId="1"/>
    <tableColumn id="4" xr3:uid="{476B8EA2-428C-4D2C-A69A-9958E653DCEC}" name="How many?" dataDxfId="0"/>
  </tableColumns>
  <tableStyleInfo name="TableStyleMedium15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table" Target="../tables/table3.xml"/><Relationship Id="rId5" Type="http://schemas.openxmlformats.org/officeDocument/2006/relationships/ctrlProp" Target="../ctrlProps/ctrlProp2.xml"/><Relationship Id="rId10" Type="http://schemas.openxmlformats.org/officeDocument/2006/relationships/table" Target="../tables/table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9.xml"/><Relationship Id="rId11" Type="http://schemas.openxmlformats.org/officeDocument/2006/relationships/comments" Target="../comments2.xml"/><Relationship Id="rId5" Type="http://schemas.openxmlformats.org/officeDocument/2006/relationships/ctrlProp" Target="../ctrlProps/ctrlProp8.xml"/><Relationship Id="rId10" Type="http://schemas.openxmlformats.org/officeDocument/2006/relationships/table" Target="../tables/table5.xml"/><Relationship Id="rId4" Type="http://schemas.openxmlformats.org/officeDocument/2006/relationships/ctrlProp" Target="../ctrlProps/ctrlProp7.xml"/><Relationship Id="rId9" Type="http://schemas.openxmlformats.org/officeDocument/2006/relationships/table" Target="../tables/table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1A1DA0-8412-4189-934D-06A34D4793BD}">
  <sheetPr codeName="Sheet5"/>
  <dimension ref="B3:F12"/>
  <sheetViews>
    <sheetView showGridLines="0" tabSelected="1" workbookViewId="0">
      <selection activeCell="F18" sqref="F18"/>
    </sheetView>
  </sheetViews>
  <sheetFormatPr defaultRowHeight="15"/>
  <cols>
    <col min="4" max="4" width="13.28515625" customWidth="1"/>
    <col min="5" max="5" width="39.85546875" customWidth="1"/>
    <col min="6" max="6" width="31.5703125" customWidth="1"/>
  </cols>
  <sheetData>
    <row r="3" spans="2:6" ht="50.25">
      <c r="C3" s="71" t="s">
        <v>77</v>
      </c>
    </row>
    <row r="4" spans="2:6" ht="15.75">
      <c r="B4" s="24"/>
    </row>
    <row r="5" spans="2:6">
      <c r="C5" t="s">
        <v>78</v>
      </c>
    </row>
    <row r="7" spans="2:6">
      <c r="C7" t="s">
        <v>79</v>
      </c>
    </row>
    <row r="10" spans="2:6">
      <c r="D10" s="70" t="s">
        <v>80</v>
      </c>
      <c r="E10" t="s">
        <v>83</v>
      </c>
      <c r="F10" s="74" t="s">
        <v>84</v>
      </c>
    </row>
    <row r="12" spans="2:6" ht="30">
      <c r="D12" s="72" t="s">
        <v>81</v>
      </c>
      <c r="E12" s="73" t="s">
        <v>82</v>
      </c>
      <c r="F12" s="74" t="s">
        <v>85</v>
      </c>
    </row>
  </sheetData>
  <hyperlinks>
    <hyperlink ref="F10" location="'PUX Restaurant Example - Cmd'!A1" display=" Click here to use command mode" xr:uid="{4BCE2BAE-4CEE-41BC-AD11-06EAC956801E}"/>
    <hyperlink ref="F12" location="'PUX IT Dev Example - Wiz'!A1" display=" Click here to use wizard mode" xr:uid="{CBE1674F-87D9-412B-934A-7C9585905AB2}"/>
  </hyperlink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CADDCE-4376-4F55-98B4-22CD11642BA4}">
  <sheetPr codeName="Sheet3"/>
  <dimension ref="A1:Z57"/>
  <sheetViews>
    <sheetView showGridLines="0" zoomScale="50" zoomScaleNormal="50" workbookViewId="0">
      <selection activeCell="C10" sqref="C10:C13"/>
    </sheetView>
  </sheetViews>
  <sheetFormatPr defaultColWidth="8.85546875" defaultRowHeight="15"/>
  <cols>
    <col min="1" max="1" width="2.42578125" customWidth="1"/>
    <col min="2" max="2" width="9.5703125" customWidth="1"/>
    <col min="3" max="3" width="39" style="1" customWidth="1"/>
    <col min="4" max="4" width="16" style="1" customWidth="1"/>
    <col min="5" max="5" width="14.85546875" style="1" customWidth="1"/>
    <col min="6" max="6" width="15.140625" style="1" customWidth="1"/>
    <col min="7" max="7" width="9.42578125" style="14" customWidth="1"/>
    <col min="8" max="8" width="39.5703125" customWidth="1"/>
    <col min="9" max="9" width="0.85546875" style="32" customWidth="1"/>
    <col min="10" max="10" width="12.5703125" customWidth="1"/>
    <col min="11" max="11" width="63.28515625" customWidth="1"/>
    <col min="12" max="12" width="34.42578125" customWidth="1"/>
  </cols>
  <sheetData>
    <row r="1" spans="1:26" ht="26.25">
      <c r="A1" s="14"/>
      <c r="B1" s="10" t="s">
        <v>7</v>
      </c>
      <c r="C1" s="3"/>
      <c r="D1"/>
      <c r="E1"/>
      <c r="F1"/>
      <c r="G1"/>
      <c r="K1" s="14"/>
      <c r="L1" s="14"/>
      <c r="M1" s="14"/>
      <c r="N1" s="14"/>
      <c r="O1" s="14"/>
      <c r="P1" s="14"/>
      <c r="Q1" s="14"/>
      <c r="R1" s="14"/>
      <c r="S1" s="14"/>
    </row>
    <row r="2" spans="1:26" ht="26.25">
      <c r="A2" s="14"/>
      <c r="B2" s="10" t="s">
        <v>8</v>
      </c>
      <c r="C2" s="11"/>
      <c r="D2" s="2"/>
      <c r="E2"/>
      <c r="F2"/>
      <c r="G2"/>
      <c r="K2" s="14"/>
      <c r="L2" s="14"/>
      <c r="M2" s="14"/>
      <c r="N2" s="14"/>
      <c r="O2" s="14"/>
      <c r="P2" s="14"/>
      <c r="Q2" s="14"/>
      <c r="R2" s="14"/>
      <c r="S2" s="14"/>
    </row>
    <row r="3" spans="1:26" ht="15" customHeight="1" thickBot="1">
      <c r="A3" s="14"/>
      <c r="B3" s="6"/>
      <c r="C3" s="15"/>
      <c r="D3" s="7"/>
      <c r="E3" s="4"/>
      <c r="F3" s="12"/>
      <c r="G3" s="12"/>
      <c r="H3" s="12"/>
      <c r="I3" s="33"/>
      <c r="K3" s="12"/>
      <c r="L3" s="12"/>
      <c r="M3" s="14"/>
      <c r="N3" s="14"/>
      <c r="O3" s="14"/>
      <c r="P3" s="14"/>
      <c r="Q3" s="14"/>
      <c r="R3" s="14"/>
      <c r="S3" s="14"/>
    </row>
    <row r="4" spans="1:26" ht="31.5" customHeight="1">
      <c r="A4" s="14"/>
      <c r="B4" s="6"/>
      <c r="C4" s="51" t="s">
        <v>31</v>
      </c>
      <c r="D4" s="48"/>
      <c r="E4" s="48"/>
      <c r="F4" s="48"/>
      <c r="G4" s="48"/>
      <c r="H4" s="48"/>
      <c r="I4" s="46"/>
      <c r="J4" s="75" t="s">
        <v>10</v>
      </c>
      <c r="K4" s="76"/>
      <c r="L4" s="12"/>
      <c r="M4" s="14"/>
      <c r="N4" s="14"/>
      <c r="O4" s="14"/>
      <c r="P4" s="14"/>
      <c r="Q4" s="14"/>
      <c r="R4" s="14"/>
      <c r="S4" s="14"/>
    </row>
    <row r="5" spans="1:26" ht="31.5" customHeight="1">
      <c r="A5" s="14"/>
      <c r="B5" s="6"/>
      <c r="C5" s="52" t="s">
        <v>30</v>
      </c>
      <c r="D5" s="49"/>
      <c r="E5" s="49"/>
      <c r="F5" s="49"/>
      <c r="G5" s="49"/>
      <c r="H5" s="49"/>
      <c r="I5" s="45"/>
      <c r="J5" s="77" t="s">
        <v>52</v>
      </c>
      <c r="K5" s="78"/>
      <c r="L5" s="12"/>
      <c r="M5" s="14"/>
      <c r="N5" s="14"/>
      <c r="O5" s="14"/>
      <c r="P5" s="14"/>
      <c r="Q5" s="14"/>
      <c r="R5" s="14"/>
      <c r="S5" s="14"/>
    </row>
    <row r="6" spans="1:26" ht="36" customHeight="1">
      <c r="A6" s="14"/>
      <c r="B6" s="6"/>
      <c r="C6" s="52" t="s">
        <v>9</v>
      </c>
      <c r="D6" s="49"/>
      <c r="E6" s="49"/>
      <c r="F6" s="49"/>
      <c r="G6" s="49"/>
      <c r="H6" s="49"/>
      <c r="I6" s="45"/>
      <c r="J6" s="77" t="s">
        <v>25</v>
      </c>
      <c r="K6" s="78"/>
      <c r="L6" s="12"/>
      <c r="M6" s="14"/>
      <c r="N6" s="14"/>
      <c r="O6" s="14"/>
      <c r="P6" s="14"/>
      <c r="Q6" s="14"/>
      <c r="R6" s="14"/>
      <c r="S6" s="14"/>
    </row>
    <row r="7" spans="1:26" ht="18.75">
      <c r="A7" s="14"/>
      <c r="B7" s="6"/>
      <c r="C7" s="52" t="s">
        <v>11</v>
      </c>
      <c r="D7" s="49"/>
      <c r="E7" s="49"/>
      <c r="F7" s="49"/>
      <c r="G7" s="49"/>
      <c r="H7" s="49"/>
      <c r="I7" s="45"/>
      <c r="J7" s="79" t="s">
        <v>13</v>
      </c>
      <c r="K7" s="80"/>
      <c r="L7" s="12"/>
      <c r="M7" s="14"/>
      <c r="N7" s="14"/>
      <c r="O7" s="14"/>
      <c r="P7" s="14"/>
      <c r="Q7" s="14"/>
      <c r="R7" s="14"/>
      <c r="S7" s="14"/>
    </row>
    <row r="8" spans="1:26" ht="19.5" thickBot="1">
      <c r="A8" s="14"/>
      <c r="B8" s="6"/>
      <c r="C8" s="53" t="s">
        <v>12</v>
      </c>
      <c r="D8" s="50"/>
      <c r="E8" s="50"/>
      <c r="F8" s="50"/>
      <c r="G8" s="50"/>
      <c r="H8" s="50"/>
      <c r="I8" s="47"/>
      <c r="J8" s="81"/>
      <c r="K8" s="82"/>
      <c r="L8" s="12"/>
      <c r="M8" s="14"/>
      <c r="N8" s="14"/>
      <c r="O8" s="14"/>
      <c r="P8" s="14"/>
      <c r="Q8" s="14"/>
      <c r="R8" s="14"/>
      <c r="S8" s="14"/>
    </row>
    <row r="9" spans="1:26" s="14" customFormat="1" ht="16.5" thickBot="1">
      <c r="B9" s="6"/>
      <c r="C9" s="13"/>
      <c r="D9" s="8"/>
      <c r="E9" s="4"/>
      <c r="F9" s="4"/>
      <c r="G9" s="5"/>
      <c r="H9" s="5"/>
      <c r="I9" s="34"/>
      <c r="J9" s="5"/>
      <c r="K9" s="12"/>
      <c r="L9" s="12"/>
    </row>
    <row r="10" spans="1:26" s="14" customFormat="1">
      <c r="C10" s="83" t="s">
        <v>36</v>
      </c>
      <c r="D10" s="61">
        <v>3</v>
      </c>
      <c r="E10" s="62" t="s">
        <v>26</v>
      </c>
      <c r="F10" s="63"/>
      <c r="I10" s="35"/>
      <c r="J10" s="12"/>
    </row>
    <row r="11" spans="1:26" s="14" customFormat="1">
      <c r="C11" s="84"/>
      <c r="D11" s="19">
        <v>2</v>
      </c>
      <c r="E11" s="18" t="s">
        <v>27</v>
      </c>
      <c r="F11" s="64"/>
      <c r="I11" s="35"/>
      <c r="J11" s="12"/>
    </row>
    <row r="12" spans="1:26" s="14" customFormat="1">
      <c r="C12" s="84"/>
      <c r="D12" s="19">
        <v>1</v>
      </c>
      <c r="E12" s="18" t="s">
        <v>28</v>
      </c>
      <c r="F12" s="64"/>
      <c r="I12" s="35"/>
      <c r="J12" s="12"/>
    </row>
    <row r="13" spans="1:26" s="14" customFormat="1" ht="15" customHeight="1" thickBot="1">
      <c r="B13" s="6"/>
      <c r="C13" s="85"/>
      <c r="D13" s="65">
        <v>0</v>
      </c>
      <c r="E13" s="66" t="s">
        <v>29</v>
      </c>
      <c r="F13" s="67"/>
      <c r="I13" s="36"/>
      <c r="K13" s="12"/>
      <c r="L13" s="12"/>
    </row>
    <row r="14" spans="1:26" s="14" customFormat="1" ht="16.5" thickBot="1">
      <c r="B14" s="29"/>
      <c r="C14" s="58"/>
      <c r="D14" s="59"/>
      <c r="E14" s="60"/>
      <c r="F14" s="60"/>
      <c r="G14" s="30"/>
      <c r="H14" s="31"/>
      <c r="I14" s="34"/>
      <c r="J14" s="5"/>
      <c r="K14" s="12"/>
      <c r="L14" s="12"/>
    </row>
    <row r="15" spans="1:26" s="16" customFormat="1" ht="47.25" thickBot="1">
      <c r="B15" s="39" t="s">
        <v>66</v>
      </c>
      <c r="C15" s="40" t="s">
        <v>67</v>
      </c>
      <c r="D15" s="41" t="s">
        <v>4</v>
      </c>
      <c r="E15" s="41" t="s">
        <v>5</v>
      </c>
      <c r="F15" s="41" t="s">
        <v>6</v>
      </c>
      <c r="G15" s="41" t="s">
        <v>14</v>
      </c>
      <c r="H15" s="42" t="s">
        <v>0</v>
      </c>
      <c r="I15" s="37"/>
      <c r="J15" s="44" t="s">
        <v>1</v>
      </c>
      <c r="K15" s="43" t="s">
        <v>64</v>
      </c>
      <c r="Z15">
        <v>3</v>
      </c>
    </row>
    <row r="16" spans="1:26" ht="23.25">
      <c r="B16" s="54">
        <v>1</v>
      </c>
      <c r="C16" s="55" t="s">
        <v>73</v>
      </c>
      <c r="D16" s="4">
        <v>3</v>
      </c>
      <c r="E16" s="4">
        <v>3</v>
      </c>
      <c r="F16" s="4">
        <v>3</v>
      </c>
      <c r="G16" s="12">
        <f>AVERAGE(Table28[[#This Row],[Negative Emotion]:[Opposes Intention]])</f>
        <v>3</v>
      </c>
      <c r="H16" s="5"/>
      <c r="I16" s="38"/>
      <c r="J16" s="27" t="s">
        <v>65</v>
      </c>
      <c r="K16" s="68" t="s">
        <v>75</v>
      </c>
      <c r="L16" s="14"/>
      <c r="M16" s="14"/>
      <c r="N16" s="14"/>
      <c r="O16" s="14"/>
      <c r="P16" s="14"/>
      <c r="Q16" s="14"/>
      <c r="R16" s="14"/>
      <c r="S16" s="14"/>
      <c r="Z16">
        <v>2</v>
      </c>
    </row>
    <row r="17" spans="2:26" ht="15.75">
      <c r="B17" s="54">
        <v>2</v>
      </c>
      <c r="C17" s="55" t="s">
        <v>74</v>
      </c>
      <c r="D17" s="4">
        <v>0</v>
      </c>
      <c r="E17" s="4">
        <v>1</v>
      </c>
      <c r="F17" s="4">
        <v>0</v>
      </c>
      <c r="G17" s="12">
        <f>AVERAGE(Table28[[#This Row],[Negative Emotion]:[Opposes Intention]])</f>
        <v>0.33333333333333331</v>
      </c>
      <c r="H17" s="5"/>
      <c r="I17" s="38"/>
      <c r="L17" s="14"/>
      <c r="M17" s="14"/>
      <c r="N17" s="14"/>
      <c r="O17" s="14"/>
      <c r="P17" s="14"/>
      <c r="Q17" s="14"/>
      <c r="R17" s="14"/>
      <c r="S17" s="14"/>
      <c r="Z17">
        <v>1</v>
      </c>
    </row>
    <row r="18" spans="2:26" ht="23.25">
      <c r="B18" s="54">
        <v>3</v>
      </c>
      <c r="C18" s="55" t="s">
        <v>16</v>
      </c>
      <c r="D18" s="4">
        <v>0</v>
      </c>
      <c r="E18" s="4">
        <v>0</v>
      </c>
      <c r="F18" s="4">
        <v>0</v>
      </c>
      <c r="G18" s="12">
        <f>AVERAGE(Table28[[#This Row],[Negative Emotion]:[Opposes Intention]])</f>
        <v>0</v>
      </c>
      <c r="H18" s="5"/>
      <c r="I18" s="38"/>
      <c r="J18" s="27" t="s">
        <v>68</v>
      </c>
      <c r="K18" s="14"/>
      <c r="L18" s="14"/>
      <c r="M18" s="14"/>
      <c r="N18" s="14"/>
      <c r="O18" s="14"/>
      <c r="P18" s="14"/>
      <c r="Q18" s="14"/>
      <c r="R18" s="14"/>
      <c r="S18" s="14"/>
      <c r="Z18">
        <v>0</v>
      </c>
    </row>
    <row r="19" spans="2:26" ht="17.25" customHeight="1">
      <c r="B19" s="54">
        <v>4</v>
      </c>
      <c r="C19" s="55" t="s">
        <v>35</v>
      </c>
      <c r="D19" s="4">
        <v>1</v>
      </c>
      <c r="E19" s="4">
        <v>1</v>
      </c>
      <c r="F19" s="4">
        <v>1</v>
      </c>
      <c r="G19" s="12">
        <f>AVERAGE(Table28[[#This Row],[Negative Emotion]:[Opposes Intention]])</f>
        <v>1</v>
      </c>
      <c r="H19" s="5"/>
      <c r="I19" s="38"/>
      <c r="J19" s="27"/>
      <c r="K19" s="14"/>
      <c r="L19" s="14"/>
      <c r="M19" s="14"/>
      <c r="N19" s="14"/>
      <c r="O19" s="14"/>
      <c r="P19" s="14"/>
      <c r="Q19" s="14"/>
      <c r="R19" s="14"/>
      <c r="S19" s="14"/>
    </row>
    <row r="20" spans="2:26" ht="15.75">
      <c r="B20" s="54">
        <v>5</v>
      </c>
      <c r="C20" s="55" t="s">
        <v>17</v>
      </c>
      <c r="D20" s="4">
        <v>0</v>
      </c>
      <c r="E20" s="4">
        <v>1</v>
      </c>
      <c r="F20" s="4">
        <v>0</v>
      </c>
      <c r="G20" s="12">
        <f>AVERAGE(Table28[[#This Row],[Negative Emotion]:[Opposes Intention]])</f>
        <v>0.33333333333333331</v>
      </c>
      <c r="H20" s="5"/>
      <c r="I20" s="38"/>
      <c r="K20" s="14"/>
      <c r="L20" s="14"/>
      <c r="M20" s="14"/>
      <c r="N20" s="14"/>
      <c r="O20" s="14"/>
      <c r="P20" s="14"/>
      <c r="Q20" s="14"/>
      <c r="R20" s="14"/>
      <c r="S20" s="14"/>
    </row>
    <row r="21" spans="2:26" ht="23.25">
      <c r="B21" s="54">
        <v>6</v>
      </c>
      <c r="C21" s="55" t="s">
        <v>18</v>
      </c>
      <c r="D21" s="4">
        <v>1</v>
      </c>
      <c r="E21" s="4">
        <v>2</v>
      </c>
      <c r="F21" s="4">
        <v>2</v>
      </c>
      <c r="G21" s="12">
        <f>AVERAGE(Table28[[#This Row],[Negative Emotion]:[Opposes Intention]])</f>
        <v>1.6666666666666667</v>
      </c>
      <c r="H21" s="5"/>
      <c r="I21" s="38"/>
      <c r="J21" s="27" t="s">
        <v>69</v>
      </c>
      <c r="K21" s="14"/>
      <c r="L21" s="14"/>
      <c r="M21" s="14"/>
      <c r="N21" s="14"/>
      <c r="O21" s="14"/>
      <c r="P21" s="14"/>
      <c r="Q21" s="14"/>
      <c r="R21" s="14"/>
      <c r="S21" s="14"/>
    </row>
    <row r="22" spans="2:26" ht="15.75">
      <c r="B22" s="54">
        <v>7</v>
      </c>
      <c r="C22" s="55" t="s">
        <v>19</v>
      </c>
      <c r="D22" s="4">
        <v>3</v>
      </c>
      <c r="E22" s="4">
        <v>3</v>
      </c>
      <c r="F22" s="4">
        <v>3</v>
      </c>
      <c r="G22" s="12">
        <f>AVERAGE(Table28[[#This Row],[Negative Emotion]:[Opposes Intention]])</f>
        <v>3</v>
      </c>
      <c r="H22" s="5" t="s">
        <v>15</v>
      </c>
      <c r="I22" s="38"/>
      <c r="K22" s="14"/>
      <c r="L22" s="14"/>
      <c r="M22" s="14"/>
      <c r="N22" s="14"/>
      <c r="O22" s="14"/>
      <c r="P22" s="14"/>
      <c r="Q22" s="14"/>
      <c r="R22" s="14"/>
      <c r="S22" s="14"/>
    </row>
    <row r="23" spans="2:26" ht="23.25">
      <c r="B23" s="54">
        <v>8</v>
      </c>
      <c r="C23" s="55" t="s">
        <v>20</v>
      </c>
      <c r="D23" s="4">
        <v>3</v>
      </c>
      <c r="E23" s="4">
        <v>3</v>
      </c>
      <c r="F23" s="4">
        <v>3</v>
      </c>
      <c r="G23" s="12">
        <f>AVERAGE(Table28[[#This Row],[Negative Emotion]:[Opposes Intention]])</f>
        <v>3</v>
      </c>
      <c r="H23" s="5"/>
      <c r="I23" s="38"/>
      <c r="J23" s="27" t="s">
        <v>70</v>
      </c>
      <c r="K23" s="14"/>
      <c r="L23" s="14"/>
      <c r="M23" s="14"/>
      <c r="N23" s="14"/>
      <c r="O23" s="14"/>
      <c r="P23" s="14"/>
      <c r="Q23" s="14"/>
      <c r="R23" s="14"/>
      <c r="S23" s="14"/>
    </row>
    <row r="24" spans="2:26" ht="15.75">
      <c r="B24" s="54">
        <v>9</v>
      </c>
      <c r="C24" s="55" t="s">
        <v>21</v>
      </c>
      <c r="D24" s="4">
        <v>3</v>
      </c>
      <c r="E24" s="4">
        <v>3</v>
      </c>
      <c r="F24" s="4">
        <v>2</v>
      </c>
      <c r="G24" s="12">
        <f>AVERAGE(Table28[[#This Row],[Negative Emotion]:[Opposes Intention]])</f>
        <v>2.6666666666666665</v>
      </c>
      <c r="H24" s="5"/>
      <c r="I24" s="38"/>
      <c r="K24" s="14"/>
      <c r="L24" s="14"/>
      <c r="M24" s="14"/>
      <c r="N24" s="14"/>
      <c r="O24" s="14"/>
      <c r="P24" s="14"/>
      <c r="Q24" s="14"/>
      <c r="R24" s="14"/>
      <c r="S24" s="14"/>
    </row>
    <row r="25" spans="2:26" ht="15.75">
      <c r="B25" s="54">
        <v>10</v>
      </c>
      <c r="C25" s="55" t="s">
        <v>22</v>
      </c>
      <c r="D25" s="4">
        <v>3</v>
      </c>
      <c r="E25" s="4">
        <v>3</v>
      </c>
      <c r="F25" s="4">
        <v>0</v>
      </c>
      <c r="G25" s="12">
        <f>AVERAGE(Table28[[#This Row],[Negative Emotion]:[Opposes Intention]])</f>
        <v>2</v>
      </c>
      <c r="H25" s="5"/>
      <c r="I25" s="38"/>
      <c r="K25" s="14"/>
      <c r="L25" s="14"/>
      <c r="M25" s="14"/>
      <c r="N25" s="14"/>
      <c r="O25" s="14"/>
      <c r="P25" s="14"/>
      <c r="Q25" s="14"/>
      <c r="R25" s="14"/>
      <c r="S25" s="14"/>
    </row>
    <row r="26" spans="2:26" ht="23.25">
      <c r="B26" s="54">
        <v>11</v>
      </c>
      <c r="C26" s="55" t="s">
        <v>23</v>
      </c>
      <c r="D26" s="4">
        <v>1</v>
      </c>
      <c r="E26" s="4">
        <v>1</v>
      </c>
      <c r="F26" s="4">
        <v>0</v>
      </c>
      <c r="G26" s="12">
        <f>AVERAGE(Table28[[#This Row],[Negative Emotion]:[Opposes Intention]])</f>
        <v>0.66666666666666663</v>
      </c>
      <c r="H26" s="5"/>
      <c r="I26" s="38"/>
      <c r="J26" s="27" t="s">
        <v>71</v>
      </c>
      <c r="K26" s="14"/>
      <c r="L26" s="14"/>
      <c r="M26" s="14"/>
      <c r="N26" s="14"/>
      <c r="O26" s="14"/>
      <c r="P26" s="14"/>
      <c r="Q26" s="14"/>
      <c r="R26" s="14"/>
      <c r="S26" s="14"/>
    </row>
    <row r="27" spans="2:26" ht="15.75">
      <c r="B27" s="54">
        <v>12</v>
      </c>
      <c r="C27" s="55" t="s">
        <v>24</v>
      </c>
      <c r="D27" s="4">
        <v>3</v>
      </c>
      <c r="E27" s="4">
        <v>3</v>
      </c>
      <c r="F27" s="4">
        <v>0</v>
      </c>
      <c r="G27" s="12">
        <f>AVERAGE(Table28[[#This Row],[Negative Emotion]:[Opposes Intention]])</f>
        <v>2</v>
      </c>
      <c r="H27" s="5"/>
      <c r="I27" s="38"/>
      <c r="K27" s="14"/>
      <c r="L27" s="14"/>
      <c r="M27" s="14"/>
      <c r="N27" s="14"/>
      <c r="O27" s="14"/>
      <c r="P27" s="14"/>
      <c r="Q27" s="14"/>
      <c r="R27" s="14"/>
      <c r="S27" s="14"/>
    </row>
    <row r="28" spans="2:26" ht="15.75">
      <c r="B28" s="54">
        <v>13</v>
      </c>
      <c r="C28" s="55" t="s">
        <v>76</v>
      </c>
      <c r="D28" s="4">
        <v>3</v>
      </c>
      <c r="E28" s="4">
        <v>0</v>
      </c>
      <c r="F28" s="4">
        <v>0</v>
      </c>
      <c r="G28" s="12">
        <f>AVERAGE(Table28[[#This Row],[Negative Emotion]:[Opposes Intention]])</f>
        <v>1</v>
      </c>
      <c r="H28" s="5"/>
      <c r="I28" s="38"/>
      <c r="K28" s="14"/>
      <c r="L28" s="14"/>
      <c r="M28" s="14"/>
      <c r="N28" s="14"/>
      <c r="O28" s="14"/>
      <c r="P28" s="14"/>
      <c r="Q28" s="14"/>
      <c r="R28" s="14"/>
      <c r="S28" s="14"/>
    </row>
    <row r="29" spans="2:26" ht="23.25">
      <c r="B29" s="54">
        <v>14</v>
      </c>
      <c r="C29" s="55" t="s">
        <v>2</v>
      </c>
      <c r="D29" s="4">
        <v>3</v>
      </c>
      <c r="E29" s="4">
        <v>1</v>
      </c>
      <c r="F29" s="4">
        <v>0</v>
      </c>
      <c r="G29" s="12">
        <f>AVERAGE(Table28[[#This Row],[Negative Emotion]:[Opposes Intention]])</f>
        <v>1.3333333333333333</v>
      </c>
      <c r="H29" s="5"/>
      <c r="I29" s="38"/>
      <c r="J29" s="69" t="s">
        <v>72</v>
      </c>
      <c r="K29" s="14"/>
      <c r="L29" s="14"/>
      <c r="M29" s="14"/>
      <c r="N29" s="14"/>
      <c r="O29" s="14"/>
      <c r="P29" s="14"/>
      <c r="Q29" s="14"/>
      <c r="R29" s="14"/>
      <c r="S29" s="14"/>
    </row>
    <row r="30" spans="2:26" ht="15.75">
      <c r="B30" s="54">
        <v>15</v>
      </c>
      <c r="C30" s="55" t="s">
        <v>3</v>
      </c>
      <c r="D30" s="4">
        <v>0</v>
      </c>
      <c r="E30" s="4">
        <v>1</v>
      </c>
      <c r="F30" s="4">
        <v>0</v>
      </c>
      <c r="G30" s="12">
        <f>AVERAGE(Table28[[#This Row],[Negative Emotion]:[Opposes Intention]])</f>
        <v>0.33333333333333331</v>
      </c>
      <c r="H30" s="5"/>
      <c r="I30" s="38"/>
      <c r="K30" s="14"/>
      <c r="L30" s="14"/>
      <c r="M30" s="14"/>
      <c r="N30" s="14"/>
      <c r="O30" s="14"/>
      <c r="P30" s="14"/>
      <c r="Q30" s="14"/>
      <c r="R30" s="14"/>
      <c r="S30" s="14"/>
    </row>
    <row r="31" spans="2:26" ht="15.75">
      <c r="B31" s="54">
        <v>16</v>
      </c>
      <c r="C31" s="55" t="s">
        <v>34</v>
      </c>
      <c r="D31" s="4">
        <v>0</v>
      </c>
      <c r="E31" s="4">
        <v>0</v>
      </c>
      <c r="F31" s="4">
        <v>0</v>
      </c>
      <c r="G31" s="12">
        <f>AVERAGE(Table28[[#This Row],[Negative Emotion]:[Opposes Intention]])</f>
        <v>0</v>
      </c>
      <c r="H31" s="5"/>
      <c r="I31" s="38"/>
      <c r="K31" s="14"/>
      <c r="L31" s="14"/>
      <c r="M31" s="14"/>
      <c r="N31" s="14"/>
      <c r="O31" s="14"/>
      <c r="P31" s="14"/>
      <c r="Q31" s="14"/>
      <c r="R31" s="14"/>
      <c r="S31" s="14"/>
    </row>
    <row r="32" spans="2:26" ht="23.25">
      <c r="B32" s="54"/>
      <c r="C32" s="56"/>
      <c r="D32" s="4">
        <v>0</v>
      </c>
      <c r="E32" s="4">
        <v>0</v>
      </c>
      <c r="F32" s="4">
        <v>0</v>
      </c>
      <c r="G32" s="17">
        <f>AVERAGE(Table28[[#This Row],[Negative Emotion]:[Opposes Intention]])</f>
        <v>0</v>
      </c>
      <c r="H32" s="5"/>
      <c r="J32" s="28"/>
      <c r="K32" s="14"/>
      <c r="L32" s="14"/>
      <c r="M32" s="14"/>
      <c r="N32" s="14"/>
      <c r="O32" s="14"/>
      <c r="P32" s="14"/>
      <c r="Q32" s="14"/>
      <c r="R32" s="14"/>
      <c r="S32" s="14"/>
    </row>
    <row r="33" spans="2:19" ht="15.75">
      <c r="B33" s="54"/>
      <c r="C33" s="56" t="s">
        <v>32</v>
      </c>
      <c r="D33" s="4">
        <v>0</v>
      </c>
      <c r="E33" s="4">
        <v>0</v>
      </c>
      <c r="F33" s="4">
        <v>0</v>
      </c>
      <c r="G33" s="17">
        <f>AVERAGE(Table28[[#This Row],[Negative Emotion]:[Opposes Intention]])</f>
        <v>0</v>
      </c>
      <c r="H33" s="5"/>
      <c r="K33" s="14"/>
      <c r="L33" s="14"/>
      <c r="M33" s="14"/>
      <c r="N33" s="14"/>
      <c r="O33" s="14"/>
      <c r="P33" s="14"/>
      <c r="Q33" s="14"/>
      <c r="R33" s="14"/>
      <c r="S33" s="14"/>
    </row>
    <row r="34" spans="2:19" ht="15.75">
      <c r="B34" s="54"/>
      <c r="C34" s="55"/>
      <c r="D34" s="4">
        <v>0</v>
      </c>
      <c r="E34" s="4">
        <v>0</v>
      </c>
      <c r="F34" s="4">
        <v>0</v>
      </c>
      <c r="G34" s="17">
        <f>AVERAGE(Table28[[#This Row],[Negative Emotion]:[Opposes Intention]])</f>
        <v>0</v>
      </c>
      <c r="H34" s="5"/>
      <c r="K34" s="14"/>
      <c r="L34" s="14"/>
      <c r="M34" s="14"/>
      <c r="N34" s="14"/>
      <c r="O34" s="14"/>
      <c r="P34" s="14"/>
      <c r="Q34" s="14"/>
      <c r="R34" s="14"/>
      <c r="S34" s="14"/>
    </row>
    <row r="35" spans="2:19" ht="15.75">
      <c r="B35" s="54"/>
      <c r="C35" s="56" t="s">
        <v>33</v>
      </c>
      <c r="D35" s="4">
        <v>0</v>
      </c>
      <c r="E35" s="4">
        <v>0</v>
      </c>
      <c r="F35" s="4">
        <v>0</v>
      </c>
      <c r="G35" s="17">
        <f>AVERAGE(Table28[[#This Row],[Negative Emotion]:[Opposes Intention]])</f>
        <v>0</v>
      </c>
      <c r="H35" s="5"/>
      <c r="K35" s="14"/>
      <c r="L35" s="14"/>
      <c r="M35" s="14"/>
      <c r="N35" s="14"/>
      <c r="O35" s="14"/>
      <c r="P35" s="14"/>
      <c r="Q35" s="14"/>
      <c r="R35" s="14"/>
      <c r="S35" s="14"/>
    </row>
    <row r="36" spans="2:19" ht="15.75">
      <c r="B36" s="54"/>
      <c r="C36" s="55"/>
      <c r="D36" s="4">
        <v>0</v>
      </c>
      <c r="E36" s="4">
        <v>0</v>
      </c>
      <c r="F36" s="4">
        <v>0</v>
      </c>
      <c r="G36" s="17">
        <f>AVERAGE(Table28[[#This Row],[Negative Emotion]:[Opposes Intention]])</f>
        <v>0</v>
      </c>
      <c r="H36" s="5"/>
      <c r="K36" s="14"/>
      <c r="L36" s="14"/>
      <c r="M36" s="14"/>
      <c r="N36" s="14"/>
      <c r="O36" s="14"/>
      <c r="P36" s="14"/>
      <c r="Q36" s="14"/>
      <c r="R36" s="14"/>
      <c r="S36" s="14"/>
    </row>
    <row r="37" spans="2:19" ht="15.75">
      <c r="B37" s="54"/>
      <c r="C37" s="55"/>
      <c r="D37" s="4">
        <v>0</v>
      </c>
      <c r="E37" s="4">
        <v>0</v>
      </c>
      <c r="F37" s="4">
        <v>0</v>
      </c>
      <c r="G37" s="17">
        <f>AVERAGE(Table28[[#This Row],[Negative Emotion]:[Opposes Intention]])</f>
        <v>0</v>
      </c>
      <c r="H37" s="5"/>
      <c r="K37" s="14"/>
      <c r="L37" s="14"/>
      <c r="M37" s="14"/>
      <c r="N37" s="14"/>
      <c r="O37" s="14"/>
      <c r="P37" s="14"/>
      <c r="Q37" s="14"/>
      <c r="R37" s="14"/>
      <c r="S37" s="14"/>
    </row>
    <row r="38" spans="2:19" ht="15.75">
      <c r="B38" s="54"/>
      <c r="C38" s="55"/>
      <c r="D38" s="4">
        <v>0</v>
      </c>
      <c r="E38" s="4">
        <v>0</v>
      </c>
      <c r="F38" s="4">
        <v>0</v>
      </c>
      <c r="G38" s="17">
        <f>AVERAGE(Table28[[#This Row],[Negative Emotion]:[Opposes Intention]])</f>
        <v>0</v>
      </c>
      <c r="H38" s="5"/>
      <c r="K38" s="14"/>
      <c r="L38" s="14"/>
      <c r="M38" s="14"/>
      <c r="N38" s="14"/>
      <c r="O38" s="14"/>
      <c r="P38" s="14"/>
      <c r="Q38" s="14"/>
      <c r="R38" s="14"/>
      <c r="S38" s="14"/>
    </row>
    <row r="39" spans="2:19" ht="15.75">
      <c r="B39" s="54"/>
      <c r="C39" s="55"/>
      <c r="D39" s="4">
        <v>0</v>
      </c>
      <c r="E39" s="4">
        <v>0</v>
      </c>
      <c r="F39" s="4">
        <v>0</v>
      </c>
      <c r="G39" s="17">
        <f>AVERAGE(Table28[[#This Row],[Negative Emotion]:[Opposes Intention]])</f>
        <v>0</v>
      </c>
      <c r="H39" s="5"/>
      <c r="K39" s="14"/>
      <c r="L39" s="14"/>
      <c r="M39" s="14"/>
      <c r="N39" s="14"/>
      <c r="O39" s="14"/>
      <c r="P39" s="14"/>
      <c r="Q39" s="14"/>
      <c r="R39" s="14"/>
      <c r="S39" s="14"/>
    </row>
    <row r="40" spans="2:19" ht="15.75">
      <c r="B40" s="54"/>
      <c r="C40" s="55"/>
      <c r="D40" s="4">
        <v>0</v>
      </c>
      <c r="E40" s="4">
        <v>0</v>
      </c>
      <c r="F40" s="4">
        <v>0</v>
      </c>
      <c r="G40" s="17">
        <f>AVERAGE(Table28[[#This Row],[Negative Emotion]:[Opposes Intention]])</f>
        <v>0</v>
      </c>
      <c r="H40" s="5"/>
      <c r="K40" s="14"/>
      <c r="L40" s="14"/>
      <c r="M40" s="14"/>
      <c r="N40" s="14"/>
      <c r="O40" s="14"/>
      <c r="P40" s="14"/>
      <c r="Q40" s="14"/>
      <c r="R40" s="14"/>
      <c r="S40" s="14"/>
    </row>
    <row r="41" spans="2:19" ht="15.75">
      <c r="B41" s="54"/>
      <c r="C41" s="55"/>
      <c r="D41" s="4">
        <v>0</v>
      </c>
      <c r="E41" s="4">
        <v>0</v>
      </c>
      <c r="F41" s="4">
        <v>0</v>
      </c>
      <c r="G41" s="17">
        <f>AVERAGE(Table28[[#This Row],[Negative Emotion]:[Opposes Intention]])</f>
        <v>0</v>
      </c>
      <c r="H41" s="5"/>
      <c r="K41" s="14"/>
      <c r="L41" s="14"/>
      <c r="M41" s="14"/>
      <c r="N41" s="14"/>
      <c r="O41" s="14"/>
      <c r="P41" s="14"/>
      <c r="Q41" s="14"/>
      <c r="R41" s="14"/>
      <c r="S41" s="14"/>
    </row>
    <row r="42" spans="2:19" ht="15.75">
      <c r="B42" s="54"/>
      <c r="C42" s="55"/>
      <c r="D42" s="4">
        <v>0</v>
      </c>
      <c r="E42" s="4">
        <v>0</v>
      </c>
      <c r="F42" s="4">
        <v>0</v>
      </c>
      <c r="G42" s="17">
        <f>AVERAGE(Table28[[#This Row],[Negative Emotion]:[Opposes Intention]])</f>
        <v>0</v>
      </c>
      <c r="H42" s="5"/>
      <c r="K42" s="14"/>
      <c r="L42" s="14"/>
      <c r="M42" s="14"/>
      <c r="N42" s="14"/>
      <c r="O42" s="14"/>
      <c r="P42" s="14"/>
      <c r="Q42" s="14"/>
      <c r="R42" s="14"/>
      <c r="S42" s="14"/>
    </row>
    <row r="43" spans="2:19" ht="15.75">
      <c r="B43" s="54"/>
      <c r="C43" s="55"/>
      <c r="D43" s="4">
        <v>0</v>
      </c>
      <c r="E43" s="4">
        <v>0</v>
      </c>
      <c r="F43" s="4">
        <v>0</v>
      </c>
      <c r="G43" s="17">
        <f>AVERAGE(Table28[[#This Row],[Negative Emotion]:[Opposes Intention]])</f>
        <v>0</v>
      </c>
      <c r="H43" s="5"/>
      <c r="K43" s="14"/>
      <c r="L43" s="14"/>
      <c r="M43" s="14"/>
      <c r="N43" s="14"/>
      <c r="O43" s="14"/>
      <c r="P43" s="14"/>
      <c r="Q43" s="14"/>
      <c r="R43" s="14"/>
      <c r="S43" s="14"/>
    </row>
    <row r="44" spans="2:19" ht="15.75">
      <c r="B44" s="54"/>
      <c r="C44" s="55"/>
      <c r="D44" s="4">
        <v>0</v>
      </c>
      <c r="E44" s="4">
        <v>0</v>
      </c>
      <c r="F44" s="4">
        <v>0</v>
      </c>
      <c r="G44" s="17">
        <f>AVERAGE(Table28[[#This Row],[Negative Emotion]:[Opposes Intention]])</f>
        <v>0</v>
      </c>
      <c r="H44" s="5"/>
      <c r="K44" s="14"/>
      <c r="L44" s="14"/>
      <c r="M44" s="14"/>
      <c r="N44" s="14"/>
      <c r="O44" s="14"/>
      <c r="P44" s="14"/>
      <c r="Q44" s="14"/>
      <c r="R44" s="14"/>
      <c r="S44" s="14"/>
    </row>
    <row r="45" spans="2:19" ht="15.75">
      <c r="B45" s="54"/>
      <c r="C45" s="55"/>
      <c r="D45" s="4">
        <v>0</v>
      </c>
      <c r="E45" s="4">
        <v>0</v>
      </c>
      <c r="F45" s="4">
        <v>0</v>
      </c>
      <c r="G45" s="17">
        <f>AVERAGE(Table28[[#This Row],[Negative Emotion]:[Opposes Intention]])</f>
        <v>0</v>
      </c>
      <c r="H45" s="5"/>
      <c r="K45" s="14"/>
      <c r="L45" s="14"/>
      <c r="M45" s="14"/>
      <c r="N45" s="14"/>
      <c r="O45" s="14"/>
      <c r="P45" s="14"/>
      <c r="Q45" s="14"/>
      <c r="R45" s="14"/>
      <c r="S45" s="14"/>
    </row>
    <row r="46" spans="2:19" ht="15.75">
      <c r="B46" s="54"/>
      <c r="C46" s="55"/>
      <c r="D46" s="4">
        <v>0</v>
      </c>
      <c r="E46" s="4">
        <v>0</v>
      </c>
      <c r="F46" s="4">
        <v>0</v>
      </c>
      <c r="G46" s="17">
        <f>AVERAGE(Table28[[#This Row],[Negative Emotion]:[Opposes Intention]])</f>
        <v>0</v>
      </c>
      <c r="H46" s="5"/>
      <c r="K46" s="14"/>
      <c r="L46" s="14"/>
      <c r="M46" s="14"/>
      <c r="N46" s="14"/>
      <c r="O46" s="14"/>
      <c r="P46" s="14"/>
      <c r="Q46" s="14"/>
      <c r="R46" s="14"/>
      <c r="S46" s="14"/>
    </row>
    <row r="47" spans="2:19" ht="15.75">
      <c r="B47" s="54"/>
      <c r="C47" s="55"/>
      <c r="D47" s="4">
        <v>0</v>
      </c>
      <c r="E47" s="4">
        <v>0</v>
      </c>
      <c r="F47" s="4">
        <v>0</v>
      </c>
      <c r="G47" s="17">
        <f>AVERAGE(Table28[[#This Row],[Negative Emotion]:[Opposes Intention]])</f>
        <v>0</v>
      </c>
      <c r="H47" s="5"/>
    </row>
    <row r="48" spans="2:19">
      <c r="B48" s="54"/>
      <c r="C48" s="57"/>
      <c r="D48" s="4">
        <v>0</v>
      </c>
      <c r="E48" s="4">
        <v>0</v>
      </c>
      <c r="F48" s="4">
        <v>0</v>
      </c>
      <c r="G48" s="17">
        <f>AVERAGE(Table28[[#This Row],[Negative Emotion]:[Opposes Intention]])</f>
        <v>0</v>
      </c>
      <c r="H48" s="5"/>
    </row>
    <row r="49" spans="2:8">
      <c r="B49" s="54"/>
      <c r="C49" s="57"/>
      <c r="D49" s="4">
        <v>0</v>
      </c>
      <c r="E49" s="4">
        <v>0</v>
      </c>
      <c r="F49" s="4">
        <v>0</v>
      </c>
      <c r="G49" s="17">
        <f>AVERAGE(Table28[[#This Row],[Negative Emotion]:[Opposes Intention]])</f>
        <v>0</v>
      </c>
      <c r="H49" s="5"/>
    </row>
    <row r="50" spans="2:8">
      <c r="B50" s="54"/>
      <c r="C50" s="57"/>
      <c r="D50" s="4">
        <v>0</v>
      </c>
      <c r="E50" s="4">
        <v>0</v>
      </c>
      <c r="F50" s="4">
        <v>0</v>
      </c>
      <c r="G50" s="17">
        <f>AVERAGE(Table28[[#This Row],[Negative Emotion]:[Opposes Intention]])</f>
        <v>0</v>
      </c>
      <c r="H50" s="5"/>
    </row>
    <row r="51" spans="2:8">
      <c r="B51" s="54"/>
      <c r="C51" s="57"/>
      <c r="D51" s="4">
        <v>0</v>
      </c>
      <c r="E51" s="4">
        <v>0</v>
      </c>
      <c r="F51" s="4">
        <v>0</v>
      </c>
      <c r="G51" s="17">
        <f>AVERAGE(Table28[[#This Row],[Negative Emotion]:[Opposes Intention]])</f>
        <v>0</v>
      </c>
      <c r="H51" s="5"/>
    </row>
    <row r="52" spans="2:8">
      <c r="B52" s="54"/>
      <c r="C52" s="57"/>
      <c r="D52" s="4">
        <v>0</v>
      </c>
      <c r="E52" s="4">
        <v>0</v>
      </c>
      <c r="F52" s="4">
        <v>0</v>
      </c>
      <c r="G52" s="17">
        <f>AVERAGE(Table28[[#This Row],[Negative Emotion]:[Opposes Intention]])</f>
        <v>0</v>
      </c>
      <c r="H52" s="5"/>
    </row>
    <row r="53" spans="2:8">
      <c r="B53" s="54"/>
      <c r="C53" s="57"/>
      <c r="D53" s="4">
        <v>0</v>
      </c>
      <c r="E53" s="4">
        <v>0</v>
      </c>
      <c r="F53" s="4">
        <v>0</v>
      </c>
      <c r="G53" s="17">
        <f>AVERAGE(Table28[[#This Row],[Negative Emotion]:[Opposes Intention]])</f>
        <v>0</v>
      </c>
      <c r="H53" s="5"/>
    </row>
    <row r="54" spans="2:8">
      <c r="B54" s="54"/>
      <c r="C54" s="57"/>
      <c r="D54" s="4">
        <v>0</v>
      </c>
      <c r="E54" s="4">
        <v>0</v>
      </c>
      <c r="F54" s="4">
        <v>0</v>
      </c>
      <c r="G54" s="17">
        <f>AVERAGE(Table28[[#This Row],[Negative Emotion]:[Opposes Intention]])</f>
        <v>0</v>
      </c>
      <c r="H54" s="5"/>
    </row>
    <row r="55" spans="2:8">
      <c r="B55" s="54"/>
      <c r="C55" s="57"/>
      <c r="D55" s="4">
        <v>0</v>
      </c>
      <c r="E55" s="4">
        <v>0</v>
      </c>
      <c r="F55" s="4">
        <v>0</v>
      </c>
      <c r="G55" s="17">
        <f>AVERAGE(Table28[[#This Row],[Negative Emotion]:[Opposes Intention]])</f>
        <v>0</v>
      </c>
      <c r="H55" s="5"/>
    </row>
    <row r="56" spans="2:8">
      <c r="B56" s="54"/>
      <c r="C56" s="57"/>
      <c r="D56" s="4">
        <v>0</v>
      </c>
      <c r="E56" s="4">
        <v>0</v>
      </c>
      <c r="F56" s="4">
        <v>0</v>
      </c>
      <c r="G56" s="17">
        <f>AVERAGE(Table28[[#This Row],[Negative Emotion]:[Opposes Intention]])</f>
        <v>0</v>
      </c>
      <c r="H56" s="5"/>
    </row>
    <row r="57" spans="2:8">
      <c r="B57" s="54"/>
      <c r="C57" s="57"/>
      <c r="D57" s="4">
        <v>0</v>
      </c>
      <c r="E57" s="4">
        <v>0</v>
      </c>
      <c r="F57" s="4">
        <v>0</v>
      </c>
      <c r="G57" s="17">
        <f>AVERAGE(Table28[[#This Row],[Negative Emotion]:[Opposes Intention]])</f>
        <v>0</v>
      </c>
      <c r="H57" s="5"/>
    </row>
  </sheetData>
  <sheetProtection insertRows="0" deleteRows="0"/>
  <mergeCells count="5">
    <mergeCell ref="J4:K4"/>
    <mergeCell ref="J5:K5"/>
    <mergeCell ref="J6:K6"/>
    <mergeCell ref="J7:K8"/>
    <mergeCell ref="C10:C13"/>
  </mergeCells>
  <conditionalFormatting sqref="E10:E12">
    <cfRule type="iconSet" priority="3">
      <iconSet iconSet="4RedToBlack" showValue="0">
        <cfvo type="percent" val="0"/>
        <cfvo type="num" val="0" gte="0"/>
        <cfvo type="num" val="1" gte="0"/>
        <cfvo type="num" val="3"/>
      </iconSet>
    </cfRule>
  </conditionalFormatting>
  <conditionalFormatting sqref="E13">
    <cfRule type="iconSet" priority="2">
      <iconSet iconSet="4RedToBlack" showValue="0">
        <cfvo type="percent" val="0"/>
        <cfvo type="num" val="0" gte="0"/>
        <cfvo type="num" val="1" gte="0"/>
        <cfvo type="num" val="3"/>
      </iconSet>
    </cfRule>
  </conditionalFormatting>
  <conditionalFormatting sqref="I3">
    <cfRule type="iconSet" priority="5">
      <iconSet iconSet="4RedToBlack" showValue="0">
        <cfvo type="percent" val="0"/>
        <cfvo type="num" val="0" gte="0"/>
        <cfvo type="num" val="1" gte="0"/>
        <cfvo type="num" val="3"/>
      </iconSet>
    </cfRule>
  </conditionalFormatting>
  <dataValidations count="1">
    <dataValidation type="list" showInputMessage="1" showErrorMessage="1" sqref="D16:G57" xr:uid="{FBAA8ACD-123F-4621-A911-690C87F2B3D4}">
      <formula1>$Z$15:$Z$18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PUX" altText="Create Customer Journey Map">
                <anchor moveWithCells="1" sizeWithCells="1">
                  <from>
                    <xdr:col>9</xdr:col>
                    <xdr:colOff>838200</xdr:colOff>
                    <xdr:row>27</xdr:row>
                    <xdr:rowOff>161925</xdr:rowOff>
                  </from>
                  <to>
                    <xdr:col>10</xdr:col>
                    <xdr:colOff>4191000</xdr:colOff>
                    <xdr:row>30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Nemo">
              <controlPr defaultSize="0" print="0" autoFill="0" autoPict="0" macro="[0]!Rate_Nemo">
                <anchor moveWithCells="1" sizeWithCells="1">
                  <from>
                    <xdr:col>10</xdr:col>
                    <xdr:colOff>28575</xdr:colOff>
                    <xdr:row>16</xdr:row>
                    <xdr:rowOff>133350</xdr:rowOff>
                  </from>
                  <to>
                    <xdr:col>10</xdr:col>
                    <xdr:colOff>4191000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TAT">
              <controlPr defaultSize="0" print="0" autoFill="0" autoPict="0" macro="[0]!Fill_TAT">
                <anchor moveWithCells="1" sizeWithCells="1">
                  <from>
                    <xdr:col>10</xdr:col>
                    <xdr:colOff>19050</xdr:colOff>
                    <xdr:row>19</xdr:row>
                    <xdr:rowOff>123825</xdr:rowOff>
                  </from>
                  <to>
                    <xdr:col>10</xdr:col>
                    <xdr:colOff>4181475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Oint">
              <controlPr defaultSize="0" print="0" autoFill="0" autoPict="0" macro="[0]!Rate_Opp_intn">
                <anchor moveWithCells="1" sizeWithCells="1">
                  <from>
                    <xdr:col>10</xdr:col>
                    <xdr:colOff>28575</xdr:colOff>
                    <xdr:row>22</xdr:row>
                    <xdr:rowOff>28575</xdr:rowOff>
                  </from>
                  <to>
                    <xdr:col>10</xdr:col>
                    <xdr:colOff>4200525</xdr:colOff>
                    <xdr:row>23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8" name="Trim Tab">
              <controlPr defaultSize="0" print="0" autoFill="0" autoPict="0" macro="[0]!Reveal_Trim_Tab">
                <anchor moveWithCells="1" sizeWithCells="1">
                  <from>
                    <xdr:col>10</xdr:col>
                    <xdr:colOff>28575</xdr:colOff>
                    <xdr:row>24</xdr:row>
                    <xdr:rowOff>161925</xdr:rowOff>
                  </from>
                  <to>
                    <xdr:col>10</xdr:col>
                    <xdr:colOff>4210050</xdr:colOff>
                    <xdr:row>26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" r:id="rId9" name="Customer Journey">
              <controlPr defaultSize="0" print="0" autoFill="0" autoPict="0" macro="[0]!PUX" altText="Create Customer Journey Map">
                <anchor moveWithCells="1" sizeWithCells="1">
                  <from>
                    <xdr:col>10</xdr:col>
                    <xdr:colOff>0</xdr:colOff>
                    <xdr:row>28</xdr:row>
                    <xdr:rowOff>152400</xdr:rowOff>
                  </from>
                  <to>
                    <xdr:col>10</xdr:col>
                    <xdr:colOff>4191000</xdr:colOff>
                    <xdr:row>31</xdr:row>
                    <xdr:rowOff>95250</xdr:rowOff>
                  </to>
                </anchor>
              </controlPr>
            </control>
          </mc:Choice>
        </mc:AlternateContent>
      </controls>
    </mc:Choice>
  </mc:AlternateContent>
  <tableParts count="2">
    <tablePart r:id="rId10"/>
    <tablePart r:id="rId1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4" id="{747171DB-C76D-4556-BE64-AFE160E2B2BD}">
            <x14:iconSet iconSet="4RedToBlack" showValue="0" custom="1">
              <x14:cfvo type="percent">
                <xm:f>0</xm:f>
              </x14:cfvo>
              <x14:cfvo type="num" gte="0">
                <xm:f>0</xm:f>
              </x14:cfvo>
              <x14:cfvo type="num" gte="0">
                <xm:f>1</xm:f>
              </x14:cfvo>
              <x14:cfvo type="num">
                <xm:f>3</xm:f>
              </x14:cfvo>
              <x14:cfIcon iconSet="3Symbols2" iconId="2"/>
              <x14:cfIcon iconSet="3ArrowsGray" iconId="0"/>
              <x14:cfIcon iconSet="3TrafficLights1" iconId="1"/>
              <x14:cfIcon iconSet="4RedToBlack" iconId="3"/>
            </x14:iconSet>
          </x14:cfRule>
          <xm:sqref>D16:G57</xm:sqref>
        </x14:conditionalFormatting>
        <x14:conditionalFormatting xmlns:xm="http://schemas.microsoft.com/office/excel/2006/main">
          <x14:cfRule type="iconSet" priority="1" id="{9B3C483C-7D08-4F42-B622-24198E8A947C}">
            <x14:iconSet iconSet="4RedToBlack" showValue="0" custom="1">
              <x14:cfvo type="percent">
                <xm:f>0</xm:f>
              </x14:cfvo>
              <x14:cfvo type="num" gte="0">
                <xm:f>0</xm:f>
              </x14:cfvo>
              <x14:cfvo type="num" gte="0">
                <xm:f>1</xm:f>
              </x14:cfvo>
              <x14:cfvo type="num">
                <xm:f>3</xm:f>
              </x14:cfvo>
              <x14:cfIcon iconSet="3Symbols2" iconId="2"/>
              <x14:cfIcon iconSet="3ArrowsGray" iconId="0"/>
              <x14:cfIcon iconSet="3TrafficLights1" iconId="1"/>
              <x14:cfIcon iconSet="4RedToBlack" iconId="3"/>
            </x14:iconSet>
          </x14:cfRule>
          <xm:sqref>D10:D13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F2573A-FEAE-4632-8EED-3B01D309CD71}">
  <sheetPr codeName="Sheet1"/>
  <dimension ref="A1:Z57"/>
  <sheetViews>
    <sheetView showGridLines="0" zoomScale="60" zoomScaleNormal="60" workbookViewId="0">
      <selection activeCell="G15" sqref="G1:G1048576"/>
    </sheetView>
  </sheetViews>
  <sheetFormatPr defaultColWidth="8.85546875" defaultRowHeight="15"/>
  <cols>
    <col min="1" max="1" width="2.42578125" customWidth="1"/>
    <col min="2" max="2" width="9.5703125" customWidth="1"/>
    <col min="3" max="3" width="51.28515625" style="1" customWidth="1"/>
    <col min="4" max="4" width="16" style="1" hidden="1" customWidth="1"/>
    <col min="5" max="5" width="14.85546875" style="1" hidden="1" customWidth="1"/>
    <col min="6" max="6" width="15.140625" style="1" hidden="1" customWidth="1"/>
    <col min="7" max="7" width="9.42578125" style="14" hidden="1" customWidth="1"/>
    <col min="8" max="8" width="39.5703125" customWidth="1"/>
    <col min="9" max="9" width="0.85546875" style="32" customWidth="1"/>
    <col min="10" max="10" width="12.5703125" customWidth="1"/>
    <col min="11" max="11" width="63.28515625" customWidth="1"/>
    <col min="12" max="12" width="34.42578125" customWidth="1"/>
  </cols>
  <sheetData>
    <row r="1" spans="1:26" ht="26.25">
      <c r="A1" s="14"/>
      <c r="B1" s="10" t="s">
        <v>7</v>
      </c>
      <c r="C1" s="3"/>
      <c r="D1"/>
      <c r="E1"/>
      <c r="F1"/>
      <c r="G1"/>
      <c r="K1" s="14"/>
      <c r="L1" s="14"/>
      <c r="M1" s="14"/>
      <c r="N1" s="14"/>
      <c r="O1" s="14"/>
      <c r="P1" s="14"/>
      <c r="Q1" s="14"/>
      <c r="R1" s="14"/>
      <c r="S1" s="14"/>
    </row>
    <row r="2" spans="1:26" ht="26.25">
      <c r="A2" s="14"/>
      <c r="B2" s="10" t="s">
        <v>8</v>
      </c>
      <c r="C2" s="11"/>
      <c r="D2" s="2"/>
      <c r="E2"/>
      <c r="F2"/>
      <c r="G2"/>
      <c r="K2" s="14"/>
      <c r="L2" s="14"/>
      <c r="M2" s="14"/>
      <c r="N2" s="14"/>
      <c r="O2" s="14"/>
      <c r="P2" s="14"/>
      <c r="Q2" s="14"/>
      <c r="R2" s="14"/>
      <c r="S2" s="14"/>
    </row>
    <row r="3" spans="1:26" ht="15" customHeight="1" thickBot="1">
      <c r="A3" s="14"/>
      <c r="B3" s="6"/>
      <c r="C3" s="15"/>
      <c r="D3" s="7"/>
      <c r="E3" s="4"/>
      <c r="F3" s="12"/>
      <c r="G3" s="12"/>
      <c r="H3" s="12"/>
      <c r="I3" s="33"/>
      <c r="K3" s="12"/>
      <c r="L3" s="12"/>
      <c r="M3" s="14"/>
      <c r="N3" s="14"/>
      <c r="O3" s="14"/>
      <c r="P3" s="14"/>
      <c r="Q3" s="14"/>
      <c r="R3" s="14"/>
      <c r="S3" s="14"/>
    </row>
    <row r="4" spans="1:26" ht="31.5" customHeight="1">
      <c r="A4" s="14"/>
      <c r="B4" s="6"/>
      <c r="C4" s="51" t="s">
        <v>31</v>
      </c>
      <c r="D4" s="48"/>
      <c r="E4" s="48"/>
      <c r="F4" s="48"/>
      <c r="G4" s="48"/>
      <c r="H4" s="48"/>
      <c r="I4" s="46"/>
      <c r="J4" s="86" t="s">
        <v>37</v>
      </c>
      <c r="K4" s="87"/>
      <c r="L4" s="87"/>
      <c r="M4" s="87"/>
      <c r="N4" s="87"/>
      <c r="O4" s="87"/>
      <c r="P4" s="88"/>
      <c r="Q4" s="14"/>
      <c r="R4" s="14"/>
      <c r="S4" s="14"/>
    </row>
    <row r="5" spans="1:26" ht="31.5" customHeight="1">
      <c r="A5" s="14"/>
      <c r="B5" s="6"/>
      <c r="C5" s="52" t="s">
        <v>30</v>
      </c>
      <c r="D5" s="49"/>
      <c r="E5" s="49"/>
      <c r="F5" s="49"/>
      <c r="G5" s="49"/>
      <c r="H5" s="49"/>
      <c r="I5" s="45"/>
      <c r="J5" s="89" t="s">
        <v>38</v>
      </c>
      <c r="K5" s="90"/>
      <c r="L5" s="90"/>
      <c r="M5" s="90"/>
      <c r="N5" s="90"/>
      <c r="O5" s="90"/>
      <c r="P5" s="91"/>
      <c r="Q5" s="14"/>
      <c r="R5" s="14"/>
      <c r="S5" s="14"/>
    </row>
    <row r="6" spans="1:26" ht="36" customHeight="1">
      <c r="A6" s="14"/>
      <c r="B6" s="6"/>
      <c r="C6" s="52" t="s">
        <v>9</v>
      </c>
      <c r="D6" s="49"/>
      <c r="E6" s="49"/>
      <c r="F6" s="49"/>
      <c r="G6" s="49"/>
      <c r="H6" s="49"/>
      <c r="I6" s="45"/>
      <c r="J6" s="89" t="s">
        <v>39</v>
      </c>
      <c r="K6" s="90"/>
      <c r="L6" s="90"/>
      <c r="M6" s="90"/>
      <c r="N6" s="90"/>
      <c r="O6" s="90"/>
      <c r="P6" s="91"/>
      <c r="Q6" s="14"/>
      <c r="R6" s="14"/>
      <c r="S6" s="14"/>
    </row>
    <row r="7" spans="1:26" ht="18.75">
      <c r="A7" s="14"/>
      <c r="B7" s="6"/>
      <c r="C7" s="52" t="s">
        <v>11</v>
      </c>
      <c r="D7" s="49"/>
      <c r="E7" s="49"/>
      <c r="F7" s="49"/>
      <c r="G7" s="49"/>
      <c r="H7" s="49"/>
      <c r="I7" s="45"/>
      <c r="J7" s="92"/>
      <c r="K7" s="93"/>
      <c r="L7" s="93"/>
      <c r="M7" s="93"/>
      <c r="N7" s="93"/>
      <c r="O7" s="93"/>
      <c r="P7" s="94"/>
      <c r="Q7" s="14"/>
      <c r="R7" s="14"/>
      <c r="S7" s="14"/>
    </row>
    <row r="8" spans="1:26" ht="19.5" thickBot="1">
      <c r="A8" s="14"/>
      <c r="B8" s="6"/>
      <c r="C8" s="53" t="s">
        <v>12</v>
      </c>
      <c r="D8" s="50"/>
      <c r="E8" s="50"/>
      <c r="F8" s="50"/>
      <c r="G8" s="50"/>
      <c r="H8" s="50"/>
      <c r="I8" s="47"/>
      <c r="J8" s="92" t="s">
        <v>13</v>
      </c>
      <c r="K8" s="93"/>
      <c r="L8" s="93"/>
      <c r="M8" s="93"/>
      <c r="N8" s="93"/>
      <c r="O8" s="93"/>
      <c r="P8" s="94"/>
      <c r="Q8" s="14"/>
      <c r="R8" s="14"/>
      <c r="S8" s="14"/>
    </row>
    <row r="9" spans="1:26" s="14" customFormat="1" ht="16.5" thickBot="1">
      <c r="B9" s="6"/>
      <c r="C9" s="13"/>
      <c r="D9" s="8"/>
      <c r="E9" s="4"/>
      <c r="F9" s="4"/>
      <c r="G9" s="5"/>
      <c r="H9" s="5"/>
      <c r="I9" s="34"/>
      <c r="J9" s="5"/>
      <c r="K9" s="12"/>
      <c r="L9" s="12"/>
    </row>
    <row r="10" spans="1:26" s="14" customFormat="1">
      <c r="C10" s="83" t="s">
        <v>36</v>
      </c>
      <c r="D10" s="61">
        <v>3</v>
      </c>
      <c r="E10" s="62" t="s">
        <v>26</v>
      </c>
      <c r="F10" s="63"/>
      <c r="I10" s="35"/>
      <c r="J10" s="12"/>
    </row>
    <row r="11" spans="1:26" s="14" customFormat="1">
      <c r="C11" s="84"/>
      <c r="D11" s="19">
        <v>2</v>
      </c>
      <c r="E11" s="18" t="s">
        <v>27</v>
      </c>
      <c r="F11" s="64"/>
      <c r="I11" s="35"/>
      <c r="J11" s="12"/>
    </row>
    <row r="12" spans="1:26" s="14" customFormat="1">
      <c r="C12" s="84"/>
      <c r="D12" s="19">
        <v>1</v>
      </c>
      <c r="E12" s="18" t="s">
        <v>28</v>
      </c>
      <c r="F12" s="64"/>
      <c r="I12" s="35"/>
      <c r="J12" s="12"/>
    </row>
    <row r="13" spans="1:26" s="14" customFormat="1" ht="15" customHeight="1" thickBot="1">
      <c r="B13" s="6"/>
      <c r="C13" s="85"/>
      <c r="D13" s="65">
        <v>0</v>
      </c>
      <c r="E13" s="66" t="s">
        <v>29</v>
      </c>
      <c r="F13" s="67"/>
      <c r="I13" s="36"/>
      <c r="K13" s="12"/>
      <c r="L13" s="12"/>
    </row>
    <row r="14" spans="1:26" s="14" customFormat="1" ht="16.5" thickBot="1">
      <c r="B14" s="29"/>
      <c r="C14" s="58"/>
      <c r="D14" s="59"/>
      <c r="E14" s="60"/>
      <c r="F14" s="60"/>
      <c r="G14" s="30"/>
      <c r="H14" s="31"/>
      <c r="I14" s="34"/>
      <c r="J14" s="5"/>
      <c r="K14" s="12"/>
      <c r="L14" s="12"/>
      <c r="Z14">
        <v>3</v>
      </c>
    </row>
    <row r="15" spans="1:26" s="16" customFormat="1" ht="47.25" thickBot="1">
      <c r="B15" s="39" t="s">
        <v>66</v>
      </c>
      <c r="C15" s="40" t="s">
        <v>67</v>
      </c>
      <c r="D15" s="41" t="s">
        <v>4</v>
      </c>
      <c r="E15" s="41" t="s">
        <v>5</v>
      </c>
      <c r="F15" s="41" t="s">
        <v>6</v>
      </c>
      <c r="G15" s="41" t="s">
        <v>14</v>
      </c>
      <c r="H15" s="42" t="s">
        <v>0</v>
      </c>
      <c r="I15" s="37"/>
      <c r="J15" s="44" t="s">
        <v>1</v>
      </c>
      <c r="K15" s="43" t="s">
        <v>64</v>
      </c>
      <c r="Z15">
        <v>2</v>
      </c>
    </row>
    <row r="16" spans="1:26" ht="27.75" customHeight="1">
      <c r="B16" s="54">
        <v>1</v>
      </c>
      <c r="C16" s="9" t="s">
        <v>40</v>
      </c>
      <c r="D16" s="4">
        <v>0</v>
      </c>
      <c r="E16" s="4">
        <v>0</v>
      </c>
      <c r="F16" s="4">
        <v>0</v>
      </c>
      <c r="G16" s="4">
        <f>AVERAGE(Table28[[#This Row],[Negative Emotion]:[Opposes Intention]])</f>
        <v>3</v>
      </c>
      <c r="H16" s="5"/>
      <c r="I16" s="38"/>
      <c r="J16" s="27" t="s">
        <v>65</v>
      </c>
      <c r="K16" s="68" t="s">
        <v>75</v>
      </c>
      <c r="L16" s="14"/>
      <c r="M16" s="14"/>
      <c r="N16" s="14"/>
      <c r="O16" s="14"/>
      <c r="P16" s="14"/>
      <c r="Q16" s="14"/>
      <c r="R16" s="14"/>
      <c r="S16" s="14"/>
      <c r="Z16">
        <v>1</v>
      </c>
    </row>
    <row r="17" spans="2:26" ht="15.75">
      <c r="B17" s="54">
        <v>2</v>
      </c>
      <c r="C17" s="9" t="s">
        <v>41</v>
      </c>
      <c r="D17" s="4">
        <v>3</v>
      </c>
      <c r="E17" s="4">
        <v>3</v>
      </c>
      <c r="F17" s="4">
        <v>3</v>
      </c>
      <c r="G17" s="4">
        <f>AVERAGE(Table28[[#This Row],[Negative Emotion]:[Opposes Intention]])</f>
        <v>0.33333333333333331</v>
      </c>
      <c r="H17" s="5"/>
      <c r="I17" s="38"/>
      <c r="L17" s="14"/>
      <c r="M17" s="14"/>
      <c r="N17" s="14"/>
      <c r="O17" s="14"/>
      <c r="P17" s="14"/>
      <c r="Q17" s="14"/>
      <c r="R17" s="14"/>
      <c r="S17" s="14"/>
      <c r="Z17">
        <v>0</v>
      </c>
    </row>
    <row r="18" spans="2:26" ht="23.25">
      <c r="B18" s="54">
        <v>3</v>
      </c>
      <c r="C18" s="9" t="s">
        <v>42</v>
      </c>
      <c r="D18" s="4">
        <v>1</v>
      </c>
      <c r="E18" s="4">
        <v>2</v>
      </c>
      <c r="F18" s="4">
        <v>1</v>
      </c>
      <c r="G18" s="4">
        <f>AVERAGE(Table28[[#This Row],[Negative Emotion]:[Opposes Intention]])</f>
        <v>0</v>
      </c>
      <c r="H18" s="5"/>
      <c r="I18" s="38"/>
      <c r="J18" s="27" t="s">
        <v>68</v>
      </c>
      <c r="K18" s="14"/>
      <c r="L18" s="14"/>
      <c r="M18" s="14"/>
      <c r="N18" s="14"/>
      <c r="O18" s="14"/>
      <c r="P18" s="14"/>
      <c r="Q18" s="14"/>
      <c r="R18" s="14"/>
      <c r="S18" s="14"/>
    </row>
    <row r="19" spans="2:26" ht="17.25" customHeight="1">
      <c r="B19" s="54">
        <v>4</v>
      </c>
      <c r="C19" s="20" t="s">
        <v>43</v>
      </c>
      <c r="D19" s="4">
        <v>0</v>
      </c>
      <c r="E19" s="4">
        <v>0</v>
      </c>
      <c r="F19" s="4">
        <v>0</v>
      </c>
      <c r="G19" s="4">
        <f>AVERAGE(Table28[[#This Row],[Negative Emotion]:[Opposes Intention]])</f>
        <v>1</v>
      </c>
      <c r="H19" s="5"/>
      <c r="I19" s="38"/>
      <c r="J19" s="27"/>
      <c r="K19" s="14"/>
      <c r="L19" s="14"/>
      <c r="M19" s="14"/>
      <c r="N19" s="14"/>
      <c r="O19" s="14"/>
      <c r="P19" s="14"/>
      <c r="Q19" s="14"/>
      <c r="R19" s="14"/>
      <c r="S19" s="14"/>
    </row>
    <row r="20" spans="2:26" ht="15.75">
      <c r="B20" s="54">
        <v>5</v>
      </c>
      <c r="C20" s="9" t="s">
        <v>44</v>
      </c>
      <c r="D20" s="4">
        <v>3</v>
      </c>
      <c r="E20" s="4">
        <v>3</v>
      </c>
      <c r="F20" s="4">
        <v>3</v>
      </c>
      <c r="G20" s="4">
        <f>AVERAGE(Table28[[#This Row],[Negative Emotion]:[Opposes Intention]])</f>
        <v>0.33333333333333331</v>
      </c>
      <c r="H20" s="5"/>
      <c r="I20" s="38"/>
      <c r="K20" s="14"/>
      <c r="L20" s="14"/>
      <c r="M20" s="14"/>
      <c r="N20" s="14"/>
      <c r="O20" s="14"/>
      <c r="P20" s="14"/>
      <c r="Q20" s="14"/>
      <c r="R20" s="14"/>
      <c r="S20" s="14"/>
    </row>
    <row r="21" spans="2:26" ht="23.25">
      <c r="B21" s="54">
        <v>6</v>
      </c>
      <c r="C21" s="9" t="s">
        <v>45</v>
      </c>
      <c r="D21" s="4">
        <v>2</v>
      </c>
      <c r="E21" s="4">
        <v>2</v>
      </c>
      <c r="F21" s="4">
        <v>2</v>
      </c>
      <c r="G21" s="4">
        <f>AVERAGE(Table28[[#This Row],[Negative Emotion]:[Opposes Intention]])</f>
        <v>1.6666666666666667</v>
      </c>
      <c r="H21" s="5"/>
      <c r="I21" s="38"/>
      <c r="J21" s="27" t="s">
        <v>69</v>
      </c>
      <c r="K21" s="14"/>
      <c r="L21" s="14"/>
      <c r="M21" s="14"/>
      <c r="N21" s="14"/>
      <c r="O21" s="14"/>
      <c r="P21" s="14"/>
      <c r="Q21" s="14"/>
      <c r="R21" s="14"/>
      <c r="S21" s="14"/>
    </row>
    <row r="22" spans="2:26" ht="15.75">
      <c r="B22" s="54">
        <v>7</v>
      </c>
      <c r="C22" s="9" t="s">
        <v>46</v>
      </c>
      <c r="D22" s="4">
        <v>1</v>
      </c>
      <c r="E22" s="4">
        <v>1</v>
      </c>
      <c r="F22" s="4">
        <v>1</v>
      </c>
      <c r="G22" s="4">
        <f>AVERAGE(Table28[[#This Row],[Negative Emotion]:[Opposes Intention]])</f>
        <v>3</v>
      </c>
      <c r="H22" s="5" t="s">
        <v>15</v>
      </c>
      <c r="I22" s="38"/>
      <c r="K22" s="14"/>
      <c r="L22" s="14"/>
      <c r="M22" s="14"/>
      <c r="N22" s="14"/>
      <c r="O22" s="14"/>
      <c r="P22" s="14"/>
      <c r="Q22" s="14"/>
      <c r="R22" s="14"/>
      <c r="S22" s="14"/>
    </row>
    <row r="23" spans="2:26" ht="23.25">
      <c r="B23" s="54">
        <v>8</v>
      </c>
      <c r="C23" s="9" t="s">
        <v>47</v>
      </c>
      <c r="D23" s="4">
        <v>0</v>
      </c>
      <c r="E23" s="4">
        <v>0</v>
      </c>
      <c r="F23" s="4">
        <v>0</v>
      </c>
      <c r="G23" s="4">
        <f>AVERAGE(Table28[[#This Row],[Negative Emotion]:[Opposes Intention]])</f>
        <v>3</v>
      </c>
      <c r="H23" s="5"/>
      <c r="I23" s="38"/>
      <c r="J23" s="27" t="s">
        <v>70</v>
      </c>
      <c r="K23" s="14"/>
      <c r="L23" s="14"/>
      <c r="M23" s="14"/>
      <c r="N23" s="14"/>
      <c r="O23" s="14"/>
      <c r="P23" s="14"/>
      <c r="Q23" s="14"/>
      <c r="R23" s="14"/>
      <c r="S23" s="14"/>
    </row>
    <row r="24" spans="2:26">
      <c r="B24" s="54">
        <v>9</v>
      </c>
      <c r="C24" s="3" t="s">
        <v>48</v>
      </c>
      <c r="D24" s="4">
        <v>1</v>
      </c>
      <c r="E24" s="4">
        <v>1</v>
      </c>
      <c r="F24" s="4">
        <v>1</v>
      </c>
      <c r="G24" s="4">
        <f>AVERAGE(Table28[[#This Row],[Negative Emotion]:[Opposes Intention]])</f>
        <v>2.6666666666666665</v>
      </c>
      <c r="H24" s="5"/>
      <c r="I24" s="38"/>
      <c r="K24" s="14"/>
      <c r="L24" s="14"/>
      <c r="M24" s="14"/>
      <c r="N24" s="14"/>
      <c r="O24" s="14"/>
      <c r="P24" s="14"/>
      <c r="Q24" s="14"/>
      <c r="R24" s="14"/>
      <c r="S24" s="14"/>
    </row>
    <row r="25" spans="2:26" ht="15.75">
      <c r="B25" s="54">
        <v>10</v>
      </c>
      <c r="C25" s="9" t="s">
        <v>49</v>
      </c>
      <c r="D25" s="4">
        <v>0</v>
      </c>
      <c r="E25" s="4">
        <v>3</v>
      </c>
      <c r="F25" s="4">
        <v>3</v>
      </c>
      <c r="G25" s="4">
        <f>AVERAGE(Table28[[#This Row],[Negative Emotion]:[Opposes Intention]])</f>
        <v>2</v>
      </c>
      <c r="H25" s="5"/>
      <c r="I25" s="38"/>
      <c r="K25" s="14"/>
      <c r="L25" s="14"/>
      <c r="M25" s="14"/>
      <c r="N25" s="14"/>
      <c r="O25" s="14"/>
      <c r="P25" s="14"/>
      <c r="Q25" s="14"/>
      <c r="R25" s="14"/>
      <c r="S25" s="14"/>
    </row>
    <row r="26" spans="2:26" ht="23.25">
      <c r="B26" s="54">
        <v>11</v>
      </c>
      <c r="C26" s="9" t="s">
        <v>50</v>
      </c>
      <c r="D26" s="4">
        <v>3</v>
      </c>
      <c r="E26" s="4">
        <v>2</v>
      </c>
      <c r="F26" s="4">
        <v>3</v>
      </c>
      <c r="G26" s="4">
        <f>AVERAGE(Table28[[#This Row],[Negative Emotion]:[Opposes Intention]])</f>
        <v>0.66666666666666663</v>
      </c>
      <c r="H26" s="5"/>
      <c r="I26" s="38"/>
      <c r="J26" s="27" t="s">
        <v>71</v>
      </c>
      <c r="K26" s="14"/>
      <c r="L26" s="14"/>
      <c r="M26" s="14"/>
      <c r="N26" s="14"/>
      <c r="O26" s="14"/>
      <c r="P26" s="14"/>
      <c r="Q26" s="14"/>
      <c r="R26" s="14"/>
      <c r="S26" s="14"/>
    </row>
    <row r="27" spans="2:26" ht="15.75">
      <c r="B27" s="54">
        <v>12</v>
      </c>
      <c r="C27" s="9" t="s">
        <v>51</v>
      </c>
      <c r="D27" s="4">
        <v>0</v>
      </c>
      <c r="E27" s="4">
        <v>0</v>
      </c>
      <c r="F27" s="4">
        <v>0</v>
      </c>
      <c r="G27" s="4">
        <f>AVERAGE(Table28[[#This Row],[Negative Emotion]:[Opposes Intention]])</f>
        <v>2</v>
      </c>
      <c r="H27" s="5"/>
      <c r="I27" s="38"/>
      <c r="K27" s="14"/>
      <c r="L27" s="14"/>
      <c r="M27" s="14"/>
      <c r="N27" s="14"/>
      <c r="O27" s="14"/>
      <c r="P27" s="14"/>
      <c r="Q27" s="14"/>
      <c r="R27" s="14"/>
      <c r="S27" s="14"/>
    </row>
    <row r="28" spans="2:26" ht="15.75">
      <c r="B28" s="54"/>
      <c r="C28" s="55"/>
      <c r="D28" s="4">
        <v>0</v>
      </c>
      <c r="E28" s="4">
        <v>0</v>
      </c>
      <c r="F28" s="4">
        <v>0</v>
      </c>
      <c r="G28" s="4">
        <f>AVERAGE(Table28[[#This Row],[Negative Emotion]:[Opposes Intention]])</f>
        <v>1</v>
      </c>
      <c r="H28" s="5"/>
      <c r="I28" s="38"/>
      <c r="K28" s="14"/>
      <c r="L28" s="14"/>
      <c r="M28" s="14"/>
      <c r="N28" s="14"/>
      <c r="O28" s="14"/>
      <c r="P28" s="14"/>
      <c r="Q28" s="14"/>
      <c r="R28" s="14"/>
      <c r="S28" s="14"/>
    </row>
    <row r="29" spans="2:26" ht="23.25">
      <c r="B29" s="54"/>
      <c r="C29" s="55"/>
      <c r="D29" s="4">
        <v>0</v>
      </c>
      <c r="E29" s="4">
        <v>0</v>
      </c>
      <c r="F29" s="4">
        <v>0</v>
      </c>
      <c r="G29" s="4">
        <f>AVERAGE(Table28[[#This Row],[Negative Emotion]:[Opposes Intention]])</f>
        <v>1.3333333333333333</v>
      </c>
      <c r="H29" s="5"/>
      <c r="I29" s="38"/>
      <c r="J29" s="69" t="s">
        <v>72</v>
      </c>
      <c r="K29" s="14"/>
      <c r="L29" s="14"/>
      <c r="M29" s="14"/>
      <c r="N29" s="14"/>
      <c r="O29" s="14"/>
      <c r="P29" s="14"/>
      <c r="Q29" s="14"/>
      <c r="R29" s="14"/>
      <c r="S29" s="14"/>
    </row>
    <row r="30" spans="2:26" ht="15.75">
      <c r="B30" s="54"/>
      <c r="C30" s="55"/>
      <c r="D30" s="4">
        <v>0</v>
      </c>
      <c r="E30" s="4">
        <v>0</v>
      </c>
      <c r="F30" s="4">
        <v>0</v>
      </c>
      <c r="G30" s="4">
        <f>AVERAGE(Table28[[#This Row],[Negative Emotion]:[Opposes Intention]])</f>
        <v>0.33333333333333331</v>
      </c>
      <c r="H30" s="5"/>
      <c r="I30" s="38"/>
      <c r="K30" s="14"/>
      <c r="L30" s="14"/>
      <c r="M30" s="14"/>
      <c r="N30" s="14"/>
      <c r="O30" s="14"/>
      <c r="P30" s="14"/>
      <c r="Q30" s="14"/>
      <c r="R30" s="14"/>
      <c r="S30" s="14"/>
    </row>
    <row r="31" spans="2:26" ht="15.75">
      <c r="B31" s="54"/>
      <c r="C31" s="55"/>
      <c r="D31" s="4">
        <v>0</v>
      </c>
      <c r="E31" s="4">
        <v>0</v>
      </c>
      <c r="F31" s="4">
        <v>0</v>
      </c>
      <c r="G31" s="4">
        <f>AVERAGE(Table28[[#This Row],[Negative Emotion]:[Opposes Intention]])</f>
        <v>0</v>
      </c>
      <c r="H31" s="5"/>
      <c r="I31" s="38"/>
      <c r="K31" s="14"/>
      <c r="L31" s="14"/>
      <c r="M31" s="14"/>
      <c r="N31" s="14"/>
      <c r="O31" s="14"/>
      <c r="P31" s="14"/>
      <c r="Q31" s="14"/>
      <c r="R31" s="14"/>
      <c r="S31" s="14"/>
    </row>
    <row r="32" spans="2:26" ht="23.25">
      <c r="B32" s="54"/>
      <c r="C32" s="56"/>
      <c r="D32" s="4">
        <v>0</v>
      </c>
      <c r="E32" s="4">
        <v>0</v>
      </c>
      <c r="F32" s="4">
        <v>0</v>
      </c>
      <c r="G32" s="4">
        <f>AVERAGE(Table28[[#This Row],[Negative Emotion]:[Opposes Intention]])</f>
        <v>0</v>
      </c>
      <c r="H32" s="5"/>
      <c r="J32" s="28"/>
      <c r="K32" s="14"/>
      <c r="L32" s="14"/>
      <c r="M32" s="14"/>
      <c r="N32" s="14"/>
      <c r="O32" s="14"/>
      <c r="P32" s="14"/>
      <c r="Q32" s="14"/>
      <c r="R32" s="14"/>
      <c r="S32" s="14"/>
    </row>
    <row r="33" spans="2:19" ht="15.75">
      <c r="B33" s="54"/>
      <c r="C33" s="56" t="s">
        <v>32</v>
      </c>
      <c r="D33" s="4">
        <v>0</v>
      </c>
      <c r="E33" s="4">
        <v>0</v>
      </c>
      <c r="F33" s="4">
        <v>0</v>
      </c>
      <c r="G33" s="4">
        <f>AVERAGE(Table28[[#This Row],[Negative Emotion]:[Opposes Intention]])</f>
        <v>0</v>
      </c>
      <c r="H33" s="5"/>
      <c r="K33" s="14"/>
      <c r="L33" s="14"/>
      <c r="M33" s="14"/>
      <c r="N33" s="14"/>
      <c r="O33" s="14"/>
      <c r="P33" s="14"/>
      <c r="Q33" s="14"/>
      <c r="R33" s="14"/>
      <c r="S33" s="14"/>
    </row>
    <row r="34" spans="2:19" ht="15.75">
      <c r="B34" s="54"/>
      <c r="C34" s="55"/>
      <c r="D34" s="4">
        <v>0</v>
      </c>
      <c r="E34" s="4">
        <v>0</v>
      </c>
      <c r="F34" s="4">
        <v>0</v>
      </c>
      <c r="G34" s="4">
        <f>AVERAGE(Table28[[#This Row],[Negative Emotion]:[Opposes Intention]])</f>
        <v>0</v>
      </c>
      <c r="H34" s="5"/>
      <c r="K34" s="14"/>
      <c r="L34" s="14"/>
      <c r="M34" s="14"/>
      <c r="N34" s="14"/>
      <c r="O34" s="14"/>
      <c r="P34" s="14"/>
      <c r="Q34" s="14"/>
      <c r="R34" s="14"/>
      <c r="S34" s="14"/>
    </row>
    <row r="35" spans="2:19" ht="15.75">
      <c r="B35" s="54"/>
      <c r="C35" s="56" t="s">
        <v>33</v>
      </c>
      <c r="D35" s="4">
        <v>0</v>
      </c>
      <c r="E35" s="4">
        <v>0</v>
      </c>
      <c r="F35" s="4">
        <v>0</v>
      </c>
      <c r="G35" s="4">
        <f>AVERAGE(Table28[[#This Row],[Negative Emotion]:[Opposes Intention]])</f>
        <v>0</v>
      </c>
      <c r="H35" s="5"/>
      <c r="K35" s="14"/>
      <c r="L35" s="14"/>
      <c r="M35" s="14"/>
      <c r="N35" s="14"/>
      <c r="O35" s="14"/>
      <c r="P35" s="14"/>
      <c r="Q35" s="14"/>
      <c r="R35" s="14"/>
      <c r="S35" s="14"/>
    </row>
    <row r="36" spans="2:19" ht="15.75">
      <c r="B36" s="54"/>
      <c r="C36" s="55"/>
      <c r="D36" s="4">
        <v>0</v>
      </c>
      <c r="E36" s="4">
        <v>0</v>
      </c>
      <c r="F36" s="4">
        <v>0</v>
      </c>
      <c r="G36" s="4">
        <f>AVERAGE(Table28[[#This Row],[Negative Emotion]:[Opposes Intention]])</f>
        <v>0</v>
      </c>
      <c r="H36" s="5"/>
      <c r="K36" s="14"/>
      <c r="L36" s="14"/>
      <c r="M36" s="14"/>
      <c r="N36" s="14"/>
      <c r="O36" s="14"/>
      <c r="P36" s="14"/>
      <c r="Q36" s="14"/>
      <c r="R36" s="14"/>
      <c r="S36" s="14"/>
    </row>
    <row r="37" spans="2:19" ht="15.75">
      <c r="B37" s="54"/>
      <c r="C37" s="55"/>
      <c r="D37" s="4">
        <v>0</v>
      </c>
      <c r="E37" s="4">
        <v>0</v>
      </c>
      <c r="F37" s="4">
        <v>0</v>
      </c>
      <c r="G37" s="4">
        <f>AVERAGE(Table28[[#This Row],[Negative Emotion]:[Opposes Intention]])</f>
        <v>0</v>
      </c>
      <c r="H37" s="5"/>
      <c r="K37" s="14"/>
      <c r="L37" s="14"/>
      <c r="M37" s="14"/>
      <c r="N37" s="14"/>
      <c r="O37" s="14"/>
      <c r="P37" s="14"/>
      <c r="Q37" s="14"/>
      <c r="R37" s="14"/>
      <c r="S37" s="14"/>
    </row>
    <row r="38" spans="2:19" ht="15.75">
      <c r="B38" s="54"/>
      <c r="C38" s="55"/>
      <c r="D38" s="4">
        <v>0</v>
      </c>
      <c r="E38" s="4">
        <v>0</v>
      </c>
      <c r="F38" s="4">
        <v>0</v>
      </c>
      <c r="G38" s="4">
        <f>AVERAGE(Table28[[#This Row],[Negative Emotion]:[Opposes Intention]])</f>
        <v>0</v>
      </c>
      <c r="H38" s="5"/>
      <c r="K38" s="14"/>
      <c r="L38" s="14"/>
      <c r="M38" s="14"/>
      <c r="N38" s="14"/>
      <c r="O38" s="14"/>
      <c r="P38" s="14"/>
      <c r="Q38" s="14"/>
      <c r="R38" s="14"/>
      <c r="S38" s="14"/>
    </row>
    <row r="39" spans="2:19" ht="15.75">
      <c r="B39" s="54"/>
      <c r="C39" s="55"/>
      <c r="D39" s="4">
        <v>0</v>
      </c>
      <c r="E39" s="4">
        <v>0</v>
      </c>
      <c r="F39" s="4">
        <v>0</v>
      </c>
      <c r="G39" s="4">
        <f>AVERAGE(Table28[[#This Row],[Negative Emotion]:[Opposes Intention]])</f>
        <v>0</v>
      </c>
      <c r="H39" s="5"/>
      <c r="K39" s="14"/>
      <c r="L39" s="14"/>
      <c r="M39" s="14"/>
      <c r="N39" s="14"/>
      <c r="O39" s="14"/>
      <c r="P39" s="14"/>
      <c r="Q39" s="14"/>
      <c r="R39" s="14"/>
      <c r="S39" s="14"/>
    </row>
    <row r="40" spans="2:19" ht="15.75">
      <c r="B40" s="54"/>
      <c r="C40" s="55"/>
      <c r="D40" s="4">
        <v>0</v>
      </c>
      <c r="E40" s="4">
        <v>0</v>
      </c>
      <c r="F40" s="4">
        <v>0</v>
      </c>
      <c r="G40" s="4">
        <f>AVERAGE(Table28[[#This Row],[Negative Emotion]:[Opposes Intention]])</f>
        <v>0</v>
      </c>
      <c r="H40" s="5"/>
      <c r="K40" s="14"/>
      <c r="L40" s="14"/>
      <c r="M40" s="14"/>
      <c r="N40" s="14"/>
      <c r="O40" s="14"/>
      <c r="P40" s="14"/>
      <c r="Q40" s="14"/>
      <c r="R40" s="14"/>
      <c r="S40" s="14"/>
    </row>
    <row r="41" spans="2:19" ht="15.75">
      <c r="B41" s="54"/>
      <c r="C41" s="55"/>
      <c r="D41" s="4">
        <v>0</v>
      </c>
      <c r="E41" s="4">
        <v>0</v>
      </c>
      <c r="F41" s="4">
        <v>0</v>
      </c>
      <c r="G41" s="4">
        <f>AVERAGE(Table28[[#This Row],[Negative Emotion]:[Opposes Intention]])</f>
        <v>0</v>
      </c>
      <c r="H41" s="5"/>
      <c r="K41" s="14"/>
      <c r="L41" s="14"/>
      <c r="M41" s="14"/>
      <c r="N41" s="14"/>
      <c r="O41" s="14"/>
      <c r="P41" s="14"/>
      <c r="Q41" s="14"/>
      <c r="R41" s="14"/>
      <c r="S41" s="14"/>
    </row>
    <row r="42" spans="2:19" ht="15.75">
      <c r="B42" s="54"/>
      <c r="C42" s="55"/>
      <c r="D42" s="4">
        <v>0</v>
      </c>
      <c r="E42" s="4">
        <v>0</v>
      </c>
      <c r="F42" s="4">
        <v>0</v>
      </c>
      <c r="G42" s="4">
        <f>AVERAGE(Table28[[#This Row],[Negative Emotion]:[Opposes Intention]])</f>
        <v>0</v>
      </c>
      <c r="H42" s="5"/>
      <c r="K42" s="14"/>
      <c r="L42" s="14"/>
      <c r="M42" s="14"/>
      <c r="N42" s="14"/>
      <c r="O42" s="14"/>
      <c r="P42" s="14"/>
      <c r="Q42" s="14"/>
      <c r="R42" s="14"/>
      <c r="S42" s="14"/>
    </row>
    <row r="43" spans="2:19" ht="15.75">
      <c r="B43" s="54"/>
      <c r="C43" s="55"/>
      <c r="D43" s="4">
        <v>0</v>
      </c>
      <c r="E43" s="4">
        <v>0</v>
      </c>
      <c r="F43" s="4">
        <v>0</v>
      </c>
      <c r="G43" s="4">
        <f>AVERAGE(Table28[[#This Row],[Negative Emotion]:[Opposes Intention]])</f>
        <v>0</v>
      </c>
      <c r="H43" s="5"/>
      <c r="K43" s="14"/>
      <c r="L43" s="14"/>
      <c r="M43" s="14"/>
      <c r="N43" s="14"/>
      <c r="O43" s="14"/>
      <c r="P43" s="14"/>
      <c r="Q43" s="14"/>
      <c r="R43" s="14"/>
      <c r="S43" s="14"/>
    </row>
    <row r="44" spans="2:19" ht="15.75">
      <c r="B44" s="54"/>
      <c r="C44" s="55"/>
      <c r="D44" s="4">
        <v>0</v>
      </c>
      <c r="E44" s="4">
        <v>0</v>
      </c>
      <c r="F44" s="4">
        <v>0</v>
      </c>
      <c r="G44" s="4">
        <f>AVERAGE(Table28[[#This Row],[Negative Emotion]:[Opposes Intention]])</f>
        <v>0</v>
      </c>
      <c r="H44" s="5"/>
      <c r="K44" s="14"/>
      <c r="L44" s="14"/>
      <c r="M44" s="14"/>
      <c r="N44" s="14"/>
      <c r="O44" s="14"/>
      <c r="P44" s="14"/>
      <c r="Q44" s="14"/>
      <c r="R44" s="14"/>
      <c r="S44" s="14"/>
    </row>
    <row r="45" spans="2:19" ht="15.75">
      <c r="B45" s="54"/>
      <c r="C45" s="55"/>
      <c r="D45" s="4">
        <v>0</v>
      </c>
      <c r="E45" s="4">
        <v>0</v>
      </c>
      <c r="F45" s="4">
        <v>0</v>
      </c>
      <c r="G45" s="4">
        <f>AVERAGE(Table28[[#This Row],[Negative Emotion]:[Opposes Intention]])</f>
        <v>0</v>
      </c>
      <c r="H45" s="5"/>
      <c r="K45" s="14"/>
      <c r="L45" s="14"/>
      <c r="M45" s="14"/>
      <c r="N45" s="14"/>
      <c r="O45" s="14"/>
      <c r="P45" s="14"/>
      <c r="Q45" s="14"/>
      <c r="R45" s="14"/>
      <c r="S45" s="14"/>
    </row>
    <row r="46" spans="2:19" ht="15.75">
      <c r="B46" s="54"/>
      <c r="C46" s="55"/>
      <c r="D46" s="4">
        <v>0</v>
      </c>
      <c r="E46" s="4">
        <v>0</v>
      </c>
      <c r="F46" s="4">
        <v>0</v>
      </c>
      <c r="G46" s="4">
        <f>AVERAGE(Table28[[#This Row],[Negative Emotion]:[Opposes Intention]])</f>
        <v>0</v>
      </c>
      <c r="H46" s="5"/>
      <c r="K46" s="14"/>
      <c r="L46" s="14"/>
      <c r="M46" s="14"/>
      <c r="N46" s="14"/>
      <c r="O46" s="14"/>
      <c r="P46" s="14"/>
      <c r="Q46" s="14"/>
      <c r="R46" s="14"/>
      <c r="S46" s="14"/>
    </row>
    <row r="47" spans="2:19" ht="15.75">
      <c r="B47" s="54"/>
      <c r="C47" s="55"/>
      <c r="D47" s="4">
        <v>0</v>
      </c>
      <c r="E47" s="4">
        <v>0</v>
      </c>
      <c r="F47" s="4">
        <v>0</v>
      </c>
      <c r="G47" s="4">
        <f>AVERAGE(Table28[[#This Row],[Negative Emotion]:[Opposes Intention]])</f>
        <v>0</v>
      </c>
      <c r="H47" s="5"/>
    </row>
    <row r="48" spans="2:19">
      <c r="B48" s="54"/>
      <c r="C48" s="57"/>
      <c r="D48" s="4">
        <v>0</v>
      </c>
      <c r="E48" s="4">
        <v>0</v>
      </c>
      <c r="F48" s="4">
        <v>0</v>
      </c>
      <c r="G48" s="4">
        <f>AVERAGE(Table28[[#This Row],[Negative Emotion]:[Opposes Intention]])</f>
        <v>0</v>
      </c>
      <c r="H48" s="5"/>
    </row>
    <row r="49" spans="2:8">
      <c r="B49" s="54"/>
      <c r="C49" s="57"/>
      <c r="D49" s="4">
        <v>0</v>
      </c>
      <c r="E49" s="4">
        <v>0</v>
      </c>
      <c r="F49" s="4">
        <v>0</v>
      </c>
      <c r="G49" s="4">
        <f>AVERAGE(Table28[[#This Row],[Negative Emotion]:[Opposes Intention]])</f>
        <v>0</v>
      </c>
      <c r="H49" s="5"/>
    </row>
    <row r="50" spans="2:8">
      <c r="B50" s="54"/>
      <c r="C50" s="57"/>
      <c r="D50" s="4">
        <v>0</v>
      </c>
      <c r="E50" s="4">
        <v>0</v>
      </c>
      <c r="F50" s="4">
        <v>0</v>
      </c>
      <c r="G50" s="4">
        <f>AVERAGE(Table28[[#This Row],[Negative Emotion]:[Opposes Intention]])</f>
        <v>0</v>
      </c>
      <c r="H50" s="5"/>
    </row>
    <row r="51" spans="2:8">
      <c r="B51" s="54"/>
      <c r="C51" s="57"/>
      <c r="D51" s="4">
        <v>0</v>
      </c>
      <c r="E51" s="4">
        <v>0</v>
      </c>
      <c r="F51" s="4">
        <v>0</v>
      </c>
      <c r="G51" s="4">
        <f>AVERAGE(Table28[[#This Row],[Negative Emotion]:[Opposes Intention]])</f>
        <v>0</v>
      </c>
      <c r="H51" s="5"/>
    </row>
    <row r="52" spans="2:8">
      <c r="B52" s="54"/>
      <c r="C52" s="57"/>
      <c r="D52" s="4">
        <v>0</v>
      </c>
      <c r="E52" s="4">
        <v>0</v>
      </c>
      <c r="F52" s="4">
        <v>0</v>
      </c>
      <c r="G52" s="4">
        <f>AVERAGE(Table28[[#This Row],[Negative Emotion]:[Opposes Intention]])</f>
        <v>0</v>
      </c>
      <c r="H52" s="5"/>
    </row>
    <row r="53" spans="2:8">
      <c r="B53" s="54"/>
      <c r="C53" s="57"/>
      <c r="D53" s="4">
        <v>0</v>
      </c>
      <c r="E53" s="4">
        <v>0</v>
      </c>
      <c r="F53" s="4">
        <v>0</v>
      </c>
      <c r="G53" s="4">
        <f>AVERAGE(Table28[[#This Row],[Negative Emotion]:[Opposes Intention]])</f>
        <v>0</v>
      </c>
      <c r="H53" s="5"/>
    </row>
    <row r="54" spans="2:8">
      <c r="B54" s="54"/>
      <c r="C54" s="57"/>
      <c r="D54" s="4">
        <v>0</v>
      </c>
      <c r="E54" s="4">
        <v>0</v>
      </c>
      <c r="F54" s="4">
        <v>0</v>
      </c>
      <c r="G54" s="4">
        <f>AVERAGE(Table28[[#This Row],[Negative Emotion]:[Opposes Intention]])</f>
        <v>0</v>
      </c>
      <c r="H54" s="5"/>
    </row>
    <row r="55" spans="2:8">
      <c r="B55" s="54"/>
      <c r="C55" s="57"/>
      <c r="D55" s="4">
        <v>0</v>
      </c>
      <c r="E55" s="4">
        <v>0</v>
      </c>
      <c r="F55" s="4">
        <v>0</v>
      </c>
      <c r="G55" s="4">
        <f>AVERAGE(Table28[[#This Row],[Negative Emotion]:[Opposes Intention]])</f>
        <v>0</v>
      </c>
      <c r="H55" s="5"/>
    </row>
    <row r="56" spans="2:8">
      <c r="B56" s="54"/>
      <c r="C56" s="57"/>
      <c r="D56" s="4">
        <v>0</v>
      </c>
      <c r="E56" s="4">
        <v>0</v>
      </c>
      <c r="F56" s="4">
        <v>0</v>
      </c>
      <c r="G56" s="4">
        <f>AVERAGE(Table28[[#This Row],[Negative Emotion]:[Opposes Intention]])</f>
        <v>0</v>
      </c>
      <c r="H56" s="5"/>
    </row>
    <row r="57" spans="2:8">
      <c r="B57" s="54"/>
      <c r="C57" s="57"/>
      <c r="D57" s="4">
        <v>0</v>
      </c>
      <c r="E57" s="4">
        <v>0</v>
      </c>
      <c r="F57" s="4">
        <v>0</v>
      </c>
      <c r="G57" s="4">
        <f>AVERAGE(Table28[[#This Row],[Negative Emotion]:[Opposes Intention]])</f>
        <v>0</v>
      </c>
      <c r="H57" s="5"/>
    </row>
  </sheetData>
  <sheetProtection insertRows="0" deleteRows="0"/>
  <mergeCells count="6">
    <mergeCell ref="C10:C13"/>
    <mergeCell ref="J4:P4"/>
    <mergeCell ref="J5:P5"/>
    <mergeCell ref="J6:P6"/>
    <mergeCell ref="J7:P7"/>
    <mergeCell ref="J8:P8"/>
  </mergeCells>
  <phoneticPr fontId="20" type="noConversion"/>
  <conditionalFormatting sqref="E10:E12">
    <cfRule type="iconSet" priority="6">
      <iconSet iconSet="4RedToBlack" showValue="0">
        <cfvo type="percent" val="0"/>
        <cfvo type="num" val="0" gte="0"/>
        <cfvo type="num" val="1" gte="0"/>
        <cfvo type="num" val="3"/>
      </iconSet>
    </cfRule>
  </conditionalFormatting>
  <conditionalFormatting sqref="E13">
    <cfRule type="iconSet" priority="4">
      <iconSet iconSet="4RedToBlack" showValue="0">
        <cfvo type="percent" val="0"/>
        <cfvo type="num" val="0" gte="0"/>
        <cfvo type="num" val="1" gte="0"/>
        <cfvo type="num" val="3"/>
      </iconSet>
    </cfRule>
  </conditionalFormatting>
  <conditionalFormatting sqref="I3">
    <cfRule type="iconSet" priority="10">
      <iconSet iconSet="4RedToBlack" showValue="0">
        <cfvo type="percent" val="0"/>
        <cfvo type="num" val="0" gte="0"/>
        <cfvo type="num" val="1" gte="0"/>
        <cfvo type="num" val="3"/>
      </iconSet>
    </cfRule>
  </conditionalFormatting>
  <dataValidations count="2">
    <dataValidation type="list" showInputMessage="1" showErrorMessage="1" sqref="G16:G57" xr:uid="{4A1D1EC2-18D3-479A-B9D1-98B7984B0DFE}">
      <formula1>$Z$14:$Z$17</formula1>
    </dataValidation>
    <dataValidation type="list" allowBlank="1" showInputMessage="1" showErrorMessage="1" sqref="D16:F57" xr:uid="{20936D3F-C05F-48AF-94FF-C599E6A06B86}">
      <formula1>$Z$14:$Z$17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ustomer Journey">
              <controlPr defaultSize="0" print="0" autoFill="0" autoPict="0" macro="[0]!PUX" altText="Create Customer Journey Map">
                <anchor moveWithCells="1" sizeWithCells="1">
                  <from>
                    <xdr:col>9</xdr:col>
                    <xdr:colOff>838200</xdr:colOff>
                    <xdr:row>27</xdr:row>
                    <xdr:rowOff>161925</xdr:rowOff>
                  </from>
                  <to>
                    <xdr:col>10</xdr:col>
                    <xdr:colOff>4191000</xdr:colOff>
                    <xdr:row>30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5" name="Nemo">
              <controlPr defaultSize="0" print="0" autoFill="0" autoPict="0" macro="[0]!Rate_Nemo">
                <anchor moveWithCells="1" sizeWithCells="1">
                  <from>
                    <xdr:col>10</xdr:col>
                    <xdr:colOff>28575</xdr:colOff>
                    <xdr:row>16</xdr:row>
                    <xdr:rowOff>133350</xdr:rowOff>
                  </from>
                  <to>
                    <xdr:col>10</xdr:col>
                    <xdr:colOff>4191000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6" name="TAT">
              <controlPr defaultSize="0" print="0" autoFill="0" autoPict="0" macro="[0]!Fill_TAT">
                <anchor moveWithCells="1" sizeWithCells="1">
                  <from>
                    <xdr:col>10</xdr:col>
                    <xdr:colOff>19050</xdr:colOff>
                    <xdr:row>19</xdr:row>
                    <xdr:rowOff>123825</xdr:rowOff>
                  </from>
                  <to>
                    <xdr:col>10</xdr:col>
                    <xdr:colOff>4181475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7" name="Oint">
              <controlPr defaultSize="0" print="0" autoFill="0" autoPict="0" macro="[0]!Rate_Opp_intn">
                <anchor moveWithCells="1" sizeWithCells="1">
                  <from>
                    <xdr:col>10</xdr:col>
                    <xdr:colOff>28575</xdr:colOff>
                    <xdr:row>22</xdr:row>
                    <xdr:rowOff>28575</xdr:rowOff>
                  </from>
                  <to>
                    <xdr:col>10</xdr:col>
                    <xdr:colOff>4200525</xdr:colOff>
                    <xdr:row>23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8" name="Trim Tab">
              <controlPr defaultSize="0" print="0" autoFill="0" autoPict="0" macro="[0]!Reveal_Trim_Tab">
                <anchor moveWithCells="1" sizeWithCells="1">
                  <from>
                    <xdr:col>10</xdr:col>
                    <xdr:colOff>28575</xdr:colOff>
                    <xdr:row>24</xdr:row>
                    <xdr:rowOff>161925</xdr:rowOff>
                  </from>
                  <to>
                    <xdr:col>10</xdr:col>
                    <xdr:colOff>4210050</xdr:colOff>
                    <xdr:row>26</xdr:row>
                    <xdr:rowOff>38100</xdr:rowOff>
                  </to>
                </anchor>
              </controlPr>
            </control>
          </mc:Choice>
        </mc:AlternateContent>
      </controls>
    </mc:Choice>
  </mc:AlternateContent>
  <tableParts count="2">
    <tablePart r:id="rId9"/>
    <tablePart r:id="rId10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3" id="{06EE0F31-98A5-417E-959E-EA371CF531E9}">
            <x14:iconSet iconSet="4RedToBlack" showValue="0" custom="1">
              <x14:cfvo type="percent">
                <xm:f>0</xm:f>
              </x14:cfvo>
              <x14:cfvo type="num" gte="0">
                <xm:f>0</xm:f>
              </x14:cfvo>
              <x14:cfvo type="num" gte="0">
                <xm:f>1</xm:f>
              </x14:cfvo>
              <x14:cfvo type="num">
                <xm:f>3</xm:f>
              </x14:cfvo>
              <x14:cfIcon iconSet="3Symbols2" iconId="2"/>
              <x14:cfIcon iconSet="3ArrowsGray" iconId="0"/>
              <x14:cfIcon iconSet="3TrafficLights1" iconId="1"/>
              <x14:cfIcon iconSet="4RedToBlack" iconId="3"/>
            </x14:iconSet>
          </x14:cfRule>
          <xm:sqref>D10:D13</xm:sqref>
        </x14:conditionalFormatting>
        <x14:conditionalFormatting xmlns:xm="http://schemas.microsoft.com/office/excel/2006/main">
          <x14:cfRule type="iconSet" priority="2" id="{5C104A37-B6A8-4F95-A006-3ABFE2A0E61A}">
            <x14:iconSet iconSet="4RedToBlack" showValue="0" custom="1">
              <x14:cfvo type="percent">
                <xm:f>0</xm:f>
              </x14:cfvo>
              <x14:cfvo type="num" gte="0">
                <xm:f>0</xm:f>
              </x14:cfvo>
              <x14:cfvo type="num" gte="0">
                <xm:f>1</xm:f>
              </x14:cfvo>
              <x14:cfvo type="num">
                <xm:f>3</xm:f>
              </x14:cfvo>
              <x14:cfIcon iconSet="3Symbols2" iconId="2"/>
              <x14:cfIcon iconSet="3ArrowsGray" iconId="0"/>
              <x14:cfIcon iconSet="3TrafficLights1" iconId="1"/>
              <x14:cfIcon iconSet="4RedToBlack" iconId="3"/>
            </x14:iconSet>
          </x14:cfRule>
          <xm:sqref>D27:F57 G16:G57</xm:sqref>
        </x14:conditionalFormatting>
        <x14:conditionalFormatting xmlns:xm="http://schemas.microsoft.com/office/excel/2006/main">
          <x14:cfRule type="iconSet" priority="1" id="{E554569E-5E5F-4D4F-BE98-3C5C7905663F}">
            <x14:iconSet iconSet="4RedToBlack" showValue="0" custom="1">
              <x14:cfvo type="percent">
                <xm:f>0</xm:f>
              </x14:cfvo>
              <x14:cfvo type="num" gte="0">
                <xm:f>0</xm:f>
              </x14:cfvo>
              <x14:cfvo type="num" gte="0">
                <xm:f>1</xm:f>
              </x14:cfvo>
              <x14:cfvo type="num">
                <xm:f>3</xm:f>
              </x14:cfvo>
              <x14:cfIcon iconSet="3Symbols2" iconId="2"/>
              <x14:cfIcon iconSet="3ArrowsGray" iconId="0"/>
              <x14:cfIcon iconSet="3TrafficLights1" iconId="1"/>
              <x14:cfIcon iconSet="4RedToBlack" iconId="3"/>
            </x14:iconSet>
          </x14:cfRule>
          <xm:sqref>D16:F26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5839CD-A46F-4CB8-846E-0624FCC9F10A}">
  <sheetPr codeName="Sheet4"/>
  <dimension ref="B3:G17"/>
  <sheetViews>
    <sheetView workbookViewId="0">
      <selection activeCell="D19" sqref="D19"/>
    </sheetView>
  </sheetViews>
  <sheetFormatPr defaultRowHeight="15"/>
  <cols>
    <col min="3" max="3" width="17.85546875" customWidth="1"/>
    <col min="4" max="4" width="60" customWidth="1"/>
    <col min="5" max="5" width="21.42578125" customWidth="1"/>
  </cols>
  <sheetData>
    <row r="3" spans="2:7" ht="21">
      <c r="B3" s="21" t="s">
        <v>53</v>
      </c>
      <c r="C3" s="22" t="s">
        <v>54</v>
      </c>
      <c r="D3" s="23" t="s">
        <v>55</v>
      </c>
      <c r="E3" s="23" t="s">
        <v>56</v>
      </c>
    </row>
    <row r="4" spans="2:7" ht="15.75">
      <c r="B4">
        <v>1</v>
      </c>
      <c r="C4" s="26" t="s">
        <v>57</v>
      </c>
      <c r="D4" s="26" t="s">
        <v>61</v>
      </c>
      <c r="E4" s="25">
        <v>1000</v>
      </c>
      <c r="F4" s="24"/>
      <c r="G4" s="24"/>
    </row>
    <row r="5" spans="2:7">
      <c r="B5">
        <v>2</v>
      </c>
      <c r="C5" s="25" t="s">
        <v>58</v>
      </c>
      <c r="D5" s="25" t="s">
        <v>62</v>
      </c>
      <c r="E5" s="25">
        <v>20</v>
      </c>
    </row>
    <row r="6" spans="2:7">
      <c r="B6">
        <v>3</v>
      </c>
      <c r="C6" s="25" t="s">
        <v>59</v>
      </c>
      <c r="D6" s="25" t="s">
        <v>63</v>
      </c>
      <c r="E6" s="25">
        <v>5</v>
      </c>
    </row>
    <row r="7" spans="2:7">
      <c r="B7">
        <v>4</v>
      </c>
      <c r="C7" s="25" t="s">
        <v>60</v>
      </c>
      <c r="D7" s="25"/>
      <c r="E7" s="25">
        <v>2</v>
      </c>
    </row>
    <row r="8" spans="2:7">
      <c r="C8" s="25"/>
      <c r="D8" s="25"/>
      <c r="E8" s="25"/>
    </row>
    <row r="9" spans="2:7">
      <c r="C9" s="25"/>
      <c r="D9" s="25"/>
      <c r="E9" s="25"/>
    </row>
    <row r="10" spans="2:7">
      <c r="C10" s="25"/>
      <c r="D10" s="25"/>
      <c r="E10" s="25"/>
    </row>
    <row r="11" spans="2:7">
      <c r="C11" s="25"/>
      <c r="D11" s="25"/>
      <c r="E11" s="25"/>
    </row>
    <row r="12" spans="2:7">
      <c r="C12" s="25"/>
      <c r="D12" s="25"/>
      <c r="E12" s="25"/>
    </row>
    <row r="13" spans="2:7">
      <c r="C13" s="25"/>
      <c r="D13" s="25"/>
      <c r="E13" s="25"/>
    </row>
    <row r="14" spans="2:7">
      <c r="C14" s="25"/>
      <c r="D14" s="25"/>
      <c r="E14" s="25"/>
    </row>
    <row r="15" spans="2:7">
      <c r="C15" s="25"/>
      <c r="D15" s="25"/>
      <c r="E15" s="25"/>
    </row>
    <row r="16" spans="2:7">
      <c r="C16" s="25"/>
      <c r="D16" s="25"/>
      <c r="E16" s="25"/>
    </row>
    <row r="17" spans="3:5">
      <c r="C17" s="25"/>
      <c r="D17" s="25"/>
      <c r="E17" s="25"/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Overview</vt:lpstr>
      <vt:lpstr>PUX Restaurant Example - Cmd</vt:lpstr>
      <vt:lpstr>PUX IT Dev Example - Wiz</vt:lpstr>
      <vt:lpstr> Identifiy your customers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Anandan Kumaran</dc:creator>
  <cp:lastModifiedBy>Anandan Kumaran</cp:lastModifiedBy>
  <dcterms:created xsi:type="dcterms:W3CDTF">2020-03-13T05:41:35Z</dcterms:created>
  <dcterms:modified xsi:type="dcterms:W3CDTF">2021-07-13T06:15:11Z</dcterms:modified>
</cp:coreProperties>
</file>