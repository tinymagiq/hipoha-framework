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omments1.xml" ContentType="application/vnd.openxmlformats-officedocument.spreadsheetml.comments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b67183372b1239e4/Desktop/"/>
    </mc:Choice>
  </mc:AlternateContent>
  <xr:revisionPtr revIDLastSave="269" documentId="8_{AE4ED146-F608-4A15-A4DD-BA52E6009557}" xr6:coauthVersionLast="45" xr6:coauthVersionMax="45" xr10:uidLastSave="{B77C62CE-D5C0-4C7F-A477-A0EC54E48C7D}"/>
  <bookViews>
    <workbookView xWindow="-120" yWindow="-120" windowWidth="29040" windowHeight="15840" activeTab="3" xr2:uid="{B3A634E3-7B0D-49A1-AC45-20D6757FFE73}"/>
  </bookViews>
  <sheets>
    <sheet name="DOJO Docket " sheetId="3" r:id="rId1"/>
    <sheet name="Roles- Members " sheetId="5" r:id="rId2"/>
    <sheet name="PUX Trim Tab" sheetId="1" r:id="rId3"/>
    <sheet name="Robotic steps" sheetId="2" r:id="rId4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58" i="1" l="1"/>
  <c r="G57" i="1"/>
  <c r="G56" i="1"/>
  <c r="G55" i="1"/>
  <c r="G54" i="1"/>
  <c r="G53" i="1"/>
  <c r="G52" i="1"/>
  <c r="G51" i="1"/>
  <c r="G50" i="1"/>
  <c r="G49" i="1"/>
  <c r="G48" i="1"/>
  <c r="G47" i="1"/>
  <c r="G46" i="1"/>
  <c r="G45" i="1"/>
  <c r="G44" i="1"/>
  <c r="G43" i="1"/>
  <c r="G42" i="1"/>
  <c r="G41" i="1"/>
  <c r="G40" i="1"/>
  <c r="G39" i="1"/>
  <c r="G38" i="1"/>
  <c r="G37" i="1"/>
  <c r="G36" i="1"/>
  <c r="G35" i="1"/>
  <c r="G34" i="1"/>
  <c r="G33" i="1"/>
  <c r="G32" i="1" l="1"/>
  <c r="G31" i="1"/>
  <c r="G30" i="1"/>
  <c r="G29" i="1"/>
  <c r="G28" i="1"/>
  <c r="G27" i="1"/>
  <c r="G26" i="1"/>
  <c r="G25" i="1"/>
  <c r="G24" i="1"/>
  <c r="G22" i="1"/>
  <c r="G21" i="1"/>
  <c r="G20" i="1"/>
  <c r="G19" i="1"/>
  <c r="G18" i="1"/>
  <c r="G17" i="1"/>
  <c r="G23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Sukumar Rajagopal</author>
  </authors>
  <commentList>
    <comment ref="D16" authorId="0" shapeId="0" xr:uid="{A31D2750-E5C4-EB41-BD52-FFDBBE9029EB}">
      <text>
        <r>
          <rPr>
            <b/>
            <sz val="10"/>
            <color rgb="FF000000"/>
            <rFont val="Tahoma"/>
            <family val="2"/>
          </rPr>
          <t>Sukumar Rajagopal: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Calibri"/>
            <family val="2"/>
          </rPr>
          <t xml:space="preserve">Rating Scale 1. Green (0) 0-5%  
</t>
        </r>
        <r>
          <rPr>
            <sz val="10"/>
            <color rgb="FF000000"/>
            <rFont val="Calibri"/>
            <family val="2"/>
          </rPr>
          <t xml:space="preserve">2. Grey (1) - 5-50% 
</t>
        </r>
        <r>
          <rPr>
            <sz val="10"/>
            <color rgb="FF000000"/>
            <rFont val="Calibri"/>
            <family val="2"/>
          </rPr>
          <t xml:space="preserve">3. Yellow (2) - 50-80%  
</t>
        </r>
        <r>
          <rPr>
            <sz val="10"/>
            <color rgb="FF000000"/>
            <rFont val="Calibri"/>
            <family val="2"/>
          </rPr>
          <t xml:space="preserve">4. Red (3) - 80-100%
</t>
        </r>
      </text>
    </comment>
  </commentList>
</comments>
</file>

<file path=xl/sharedStrings.xml><?xml version="1.0" encoding="utf-8"?>
<sst xmlns="http://schemas.openxmlformats.org/spreadsheetml/2006/main" count="71" uniqueCount="67">
  <si>
    <t>Performance Undersupply Xray (PUX)</t>
  </si>
  <si>
    <t>Customer Journey Map  - PUX Guidelines</t>
  </si>
  <si>
    <t xml:space="preserve">1. Identity a Functional Area/ Scenario preferably in your scope of responsibility </t>
  </si>
  <si>
    <t>2.Title Of Journey</t>
  </si>
  <si>
    <t>3. Identify the Stakeholder/Customer Intention (Pick 2 from the List of Intentions below)</t>
  </si>
  <si>
    <t>Fast (Agile) , Easy (Convenient), Frugal (Economic),  Secure(Safe)</t>
  </si>
  <si>
    <t>Fast &amp; Easy</t>
  </si>
  <si>
    <r>
      <t xml:space="preserve">PUX Rating - </t>
    </r>
    <r>
      <rPr>
        <sz val="16"/>
        <color rgb="FF660033"/>
        <rFont val="Calibri"/>
        <family val="2"/>
        <scheme val="minor"/>
      </rPr>
      <t xml:space="preserve"> Please enter (0/1/2/3)  as your rating for Each Step and in the 3 columns</t>
    </r>
  </si>
  <si>
    <t>3 - Worst  Impact</t>
  </si>
  <si>
    <t>2 - Worse Impact</t>
  </si>
  <si>
    <t>1 - Bad Impact</t>
  </si>
  <si>
    <t>0 - No Impact</t>
  </si>
  <si>
    <t>Step Number</t>
  </si>
  <si>
    <t>Steps</t>
  </si>
  <si>
    <t>Negative Emotion</t>
  </si>
  <si>
    <t>High TAT</t>
  </si>
  <si>
    <t>Opposes Intention</t>
  </si>
  <si>
    <t>Trim Tab</t>
  </si>
  <si>
    <t>Comments</t>
  </si>
  <si>
    <t/>
  </si>
  <si>
    <t>'</t>
  </si>
  <si>
    <t xml:space="preserve">POD </t>
  </si>
  <si>
    <t>S No</t>
  </si>
  <si>
    <t xml:space="preserve">GROUP  TITLE </t>
  </si>
  <si>
    <t>Auto Leag - Group 1</t>
  </si>
  <si>
    <t>1C</t>
  </si>
  <si>
    <t>FIRST SOURCE</t>
  </si>
  <si>
    <t>NAME OF THE ORGANISATION:</t>
  </si>
  <si>
    <t xml:space="preserve">Role </t>
  </si>
  <si>
    <t xml:space="preserve">Open the downloaded CSV file </t>
  </si>
  <si>
    <t xml:space="preserve">Click on 'Enable editing 'of the above file </t>
  </si>
  <si>
    <t xml:space="preserve">save the above CSV file onto the local machine </t>
  </si>
  <si>
    <t xml:space="preserve">Request mail to Supervisor for approving data download </t>
  </si>
  <si>
    <t xml:space="preserve">Wait for  Supervisor approval </t>
  </si>
  <si>
    <t>Name of Team  Member</t>
  </si>
  <si>
    <t xml:space="preserve">Data Quality </t>
  </si>
  <si>
    <t xml:space="preserve">Creating month end data Quality packs for each country </t>
  </si>
  <si>
    <t xml:space="preserve">Download data  into Excel from  App x,y &amp; z  each month </t>
  </si>
  <si>
    <t>Analyze the above data based on the preset parameters</t>
  </si>
  <si>
    <t>Ignored.As this entails waiting for 3rd party</t>
  </si>
  <si>
    <t xml:space="preserve">Prepare  a final report with detailed break up where there is breach </t>
  </si>
  <si>
    <t>3. Identify the Stakeholder/Customer [Role]</t>
  </si>
  <si>
    <t>Quality Assurance Analyst</t>
  </si>
  <si>
    <t xml:space="preserve">Aparna </t>
  </si>
  <si>
    <t>Kumaran</t>
  </si>
  <si>
    <t>Sanjay</t>
  </si>
  <si>
    <t>Jayashree</t>
  </si>
  <si>
    <t>Supervisor</t>
  </si>
  <si>
    <t>Manager</t>
  </si>
  <si>
    <t>Quality Assurance Lead</t>
  </si>
  <si>
    <t>Download CSV file from App x</t>
  </si>
  <si>
    <t xml:space="preserve"> Save the above file as x.xls </t>
  </si>
  <si>
    <t xml:space="preserve">Insert a pivot table  by choosing fields </t>
  </si>
  <si>
    <t xml:space="preserve">Apply macros on the above data </t>
  </si>
  <si>
    <t xml:space="preserve">Again split the excel sheet countrywise </t>
  </si>
  <si>
    <t xml:space="preserve">Create a country pack in powerpoint </t>
  </si>
  <si>
    <t>Count</t>
  </si>
  <si>
    <t>Send country specific report the respective country managers</t>
  </si>
  <si>
    <t>Consolidate  excel file country wise</t>
  </si>
  <si>
    <t>Prepare dash board of the overall performance against parameters</t>
  </si>
  <si>
    <t>Create   country wise report</t>
  </si>
  <si>
    <t xml:space="preserve">ROBOTIC STEPS for Customer Journey step 4 - Trim tab step </t>
  </si>
  <si>
    <t>Customer Journey</t>
  </si>
  <si>
    <t>Role</t>
  </si>
  <si>
    <t>Trim Tab Step</t>
  </si>
  <si>
    <t>4 - Consolidate  excel file country wise</t>
  </si>
  <si>
    <t>Click on the App x http://x.ff.com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</si>
</sst>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4">
    <font>
      <sz val="11"/>
      <color theme="1"/>
      <name val="Calibri"/>
      <family val="2"/>
      <scheme val="minor"/>
    </font>
    <font>
      <sz val="11"/>
      <color rgb="FFCC0099"/>
      <name val="Calibri"/>
      <family val="2"/>
      <scheme val="minor"/>
    </font>
    <font>
      <b/>
      <sz val="11"/>
      <color rgb="FFCC0099"/>
      <name val="Calibri"/>
      <family val="2"/>
      <scheme val="minor"/>
    </font>
    <font>
      <b/>
      <sz val="20"/>
      <color rgb="FF660033"/>
      <name val="Calibri"/>
      <family val="2"/>
      <scheme val="minor"/>
    </font>
    <font>
      <sz val="11"/>
      <color rgb="FF002060"/>
      <name val="Calibri"/>
      <family val="2"/>
      <scheme val="minor"/>
    </font>
    <font>
      <b/>
      <sz val="12"/>
      <color rgb="FFCC0099"/>
      <name val="Calibri"/>
      <family val="2"/>
      <scheme val="minor"/>
    </font>
    <font>
      <sz val="12"/>
      <color rgb="FFCC0099"/>
      <name val="Calibri"/>
      <family val="2"/>
      <scheme val="minor"/>
    </font>
    <font>
      <sz val="12"/>
      <color theme="1"/>
      <name val=".AppleSystemUIFont"/>
    </font>
    <font>
      <b/>
      <sz val="9"/>
      <color theme="0"/>
      <name val="Georgia"/>
      <family val="1"/>
    </font>
    <font>
      <sz val="12"/>
      <color rgb="FF660033"/>
      <name val="Calibri"/>
      <family val="2"/>
      <scheme val="minor"/>
    </font>
    <font>
      <b/>
      <sz val="16"/>
      <color rgb="FF660033"/>
      <name val="Calibri"/>
      <family val="2"/>
      <scheme val="minor"/>
    </font>
    <font>
      <sz val="16"/>
      <color rgb="FF660033"/>
      <name val="Calibri"/>
      <family val="2"/>
      <scheme val="minor"/>
    </font>
    <font>
      <sz val="10"/>
      <color rgb="FF000000"/>
      <name val="Tahoma"/>
      <family val="2"/>
    </font>
    <font>
      <b/>
      <sz val="10"/>
      <color rgb="FF000000"/>
      <name val="Tahoma"/>
      <family val="2"/>
    </font>
    <font>
      <sz val="10"/>
      <color rgb="FF000000"/>
      <name val="Calibri"/>
      <family val="2"/>
    </font>
    <font>
      <b/>
      <sz val="11"/>
      <color theme="1"/>
      <name val="Calibri"/>
      <family val="2"/>
      <scheme val="minor"/>
    </font>
    <font>
      <b/>
      <sz val="16"/>
      <color rgb="FF7030A0"/>
      <name val="Calibri"/>
      <family val="2"/>
      <scheme val="minor"/>
    </font>
    <font>
      <b/>
      <sz val="18"/>
      <color rgb="FF7030A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u/>
      <sz val="20"/>
      <color rgb="FFCC0099"/>
      <name val="Calibri"/>
      <family val="2"/>
      <scheme val="minor"/>
    </font>
    <font>
      <b/>
      <u/>
      <sz val="20"/>
      <color rgb="FF660033"/>
      <name val="Calibri"/>
      <family val="2"/>
      <scheme val="minor"/>
    </font>
    <font>
      <b/>
      <u/>
      <sz val="18"/>
      <color rgb="FF660033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99FF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FFDDFF"/>
        <bgColor indexed="64"/>
      </patternFill>
    </fill>
    <fill>
      <patternFill patternType="solid">
        <fgColor theme="5" tint="0.79998168889431442"/>
        <bgColor theme="5" tint="0.79998168889431442"/>
      </patternFill>
    </fill>
  </fills>
  <borders count="35">
    <border>
      <left/>
      <right/>
      <top/>
      <bottom/>
      <diagonal/>
    </border>
    <border>
      <left style="medium">
        <color rgb="FF660033"/>
      </left>
      <right style="medium">
        <color rgb="FF660033"/>
      </right>
      <top style="medium">
        <color rgb="FF660033"/>
      </top>
      <bottom style="medium">
        <color rgb="FF660033"/>
      </bottom>
      <diagonal/>
    </border>
    <border>
      <left/>
      <right style="medium">
        <color rgb="FF660033"/>
      </right>
      <top style="medium">
        <color rgb="FF660033"/>
      </top>
      <bottom style="medium">
        <color rgb="FF660033"/>
      </bottom>
      <diagonal/>
    </border>
    <border>
      <left style="medium">
        <color rgb="FF660033"/>
      </left>
      <right/>
      <top style="medium">
        <color rgb="FF660033"/>
      </top>
      <bottom/>
      <diagonal/>
    </border>
    <border>
      <left style="medium">
        <color rgb="FF660033"/>
      </left>
      <right/>
      <top/>
      <bottom/>
      <diagonal/>
    </border>
    <border>
      <left style="medium">
        <color rgb="FF660033"/>
      </left>
      <right/>
      <top/>
      <bottom style="medium">
        <color rgb="FF66003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rgb="FF660033"/>
      </left>
      <right/>
      <top style="medium">
        <color rgb="FF660033"/>
      </top>
      <bottom style="thin">
        <color rgb="FF660033"/>
      </bottom>
      <diagonal/>
    </border>
    <border>
      <left style="medium">
        <color rgb="FF660033"/>
      </left>
      <right/>
      <top style="thin">
        <color rgb="FF660033"/>
      </top>
      <bottom style="thin">
        <color rgb="FF660033"/>
      </bottom>
      <diagonal/>
    </border>
    <border>
      <left style="medium">
        <color rgb="FF660033"/>
      </left>
      <right/>
      <top style="thin">
        <color rgb="FF660033"/>
      </top>
      <bottom style="medium">
        <color rgb="FF660033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74">
    <xf numFmtId="0" fontId="0" fillId="0" borderId="0" xfId="0"/>
    <xf numFmtId="0" fontId="0" fillId="0" borderId="0" xfId="0" applyAlignment="1">
      <alignment wrapText="1"/>
    </xf>
    <xf numFmtId="0" fontId="1" fillId="0" borderId="0" xfId="0" applyFont="1"/>
    <xf numFmtId="0" fontId="0" fillId="0" borderId="0" xfId="0" applyProtection="1">
      <protection locked="0"/>
    </xf>
    <xf numFmtId="0" fontId="0" fillId="0" borderId="0" xfId="0" applyAlignment="1" applyProtection="1">
      <alignment wrapText="1"/>
      <protection locked="0"/>
    </xf>
    <xf numFmtId="0" fontId="1" fillId="0" borderId="0" xfId="0" applyFont="1" applyAlignment="1" applyProtection="1">
      <alignment wrapText="1"/>
      <protection locked="0"/>
    </xf>
    <xf numFmtId="0" fontId="1" fillId="0" borderId="0" xfId="0" applyFont="1" applyProtection="1">
      <protection locked="0"/>
    </xf>
    <xf numFmtId="0" fontId="2" fillId="0" borderId="0" xfId="0" applyFont="1" applyProtection="1">
      <protection locked="0"/>
    </xf>
    <xf numFmtId="0" fontId="5" fillId="0" borderId="0" xfId="0" applyFont="1" applyAlignment="1" applyProtection="1">
      <alignment wrapText="1"/>
      <protection locked="0"/>
    </xf>
    <xf numFmtId="0" fontId="6" fillId="0" borderId="0" xfId="0" applyFont="1" applyAlignment="1" applyProtection="1">
      <alignment wrapText="1"/>
      <protection locked="0"/>
    </xf>
    <xf numFmtId="0" fontId="0" fillId="0" borderId="0" xfId="0" applyAlignment="1" applyProtection="1">
      <alignment horizontal="center" vertical="top"/>
      <protection locked="0"/>
    </xf>
    <xf numFmtId="0" fontId="4" fillId="0" borderId="0" xfId="0" applyFont="1" applyProtection="1">
      <protection locked="0"/>
    </xf>
    <xf numFmtId="0" fontId="7" fillId="0" borderId="0" xfId="0" applyFont="1" applyProtection="1">
      <protection locked="0"/>
    </xf>
    <xf numFmtId="0" fontId="3" fillId="0" borderId="0" xfId="0" applyFont="1" applyProtection="1"/>
    <xf numFmtId="0" fontId="1" fillId="0" borderId="0" xfId="0" applyFont="1" applyAlignment="1" applyProtection="1">
      <alignment wrapText="1"/>
    </xf>
    <xf numFmtId="0" fontId="1" fillId="0" borderId="0" xfId="0" applyFont="1" applyProtection="1"/>
    <xf numFmtId="0" fontId="5" fillId="0" borderId="0" xfId="0" applyFont="1" applyAlignment="1" applyProtection="1">
      <alignment wrapText="1"/>
    </xf>
    <xf numFmtId="0" fontId="6" fillId="0" borderId="0" xfId="0" applyFont="1" applyAlignment="1" applyProtection="1">
      <alignment wrapText="1"/>
    </xf>
    <xf numFmtId="0" fontId="1" fillId="0" borderId="0" xfId="0" applyFont="1" applyBorder="1" applyProtection="1"/>
    <xf numFmtId="0" fontId="8" fillId="3" borderId="1" xfId="0" applyFont="1" applyFill="1" applyBorder="1" applyAlignment="1" applyProtection="1">
      <alignment horizontal="center" vertical="top" wrapText="1"/>
    </xf>
    <xf numFmtId="0" fontId="8" fillId="3" borderId="2" xfId="0" applyFont="1" applyFill="1" applyBorder="1" applyAlignment="1" applyProtection="1">
      <alignment horizontal="center" vertical="top" wrapText="1"/>
    </xf>
    <xf numFmtId="0" fontId="0" fillId="0" borderId="0" xfId="0" applyProtection="1"/>
    <xf numFmtId="0" fontId="0" fillId="0" borderId="0" xfId="0" applyAlignment="1" applyProtection="1">
      <alignment wrapText="1"/>
    </xf>
    <xf numFmtId="0" fontId="0" fillId="0" borderId="0" xfId="0" applyAlignment="1" applyProtection="1">
      <alignment horizontal="center" vertical="top"/>
    </xf>
    <xf numFmtId="0" fontId="1" fillId="0" borderId="0" xfId="0" applyNumberFormat="1" applyFont="1" applyProtection="1"/>
    <xf numFmtId="0" fontId="7" fillId="0" borderId="0" xfId="0" quotePrefix="1" applyFont="1" applyProtection="1">
      <protection locked="0"/>
    </xf>
    <xf numFmtId="0" fontId="1" fillId="0" borderId="6" xfId="0" applyFont="1" applyBorder="1" applyProtection="1"/>
    <xf numFmtId="0" fontId="1" fillId="5" borderId="7" xfId="0" applyFont="1" applyFill="1" applyBorder="1" applyAlignment="1">
      <alignment horizontal="center" wrapText="1"/>
    </xf>
    <xf numFmtId="0" fontId="1" fillId="0" borderId="8" xfId="0" applyFont="1" applyBorder="1" applyProtection="1"/>
    <xf numFmtId="0" fontId="0" fillId="0" borderId="9" xfId="0" applyBorder="1" applyProtection="1"/>
    <xf numFmtId="0" fontId="1" fillId="5" borderId="10" xfId="0" applyFont="1" applyFill="1" applyBorder="1" applyAlignment="1">
      <alignment horizontal="center" wrapText="1"/>
    </xf>
    <xf numFmtId="0" fontId="0" fillId="0" borderId="11" xfId="0" applyBorder="1" applyProtection="1"/>
    <xf numFmtId="0" fontId="1" fillId="5" borderId="12" xfId="0" applyFont="1" applyFill="1" applyBorder="1" applyAlignment="1">
      <alignment horizontal="center" wrapText="1"/>
    </xf>
    <xf numFmtId="0" fontId="1" fillId="0" borderId="13" xfId="0" applyFont="1" applyBorder="1" applyProtection="1"/>
    <xf numFmtId="0" fontId="1" fillId="0" borderId="14" xfId="0" applyFont="1" applyBorder="1" applyProtection="1"/>
    <xf numFmtId="0" fontId="9" fillId="4" borderId="15" xfId="0" applyFont="1" applyFill="1" applyBorder="1" applyAlignment="1" applyProtection="1">
      <alignment wrapText="1"/>
    </xf>
    <xf numFmtId="0" fontId="9" fillId="4" borderId="16" xfId="0" applyFont="1" applyFill="1" applyBorder="1" applyAlignment="1" applyProtection="1">
      <alignment wrapText="1"/>
    </xf>
    <xf numFmtId="0" fontId="9" fillId="4" borderId="17" xfId="0" applyFont="1" applyFill="1" applyBorder="1" applyAlignment="1" applyProtection="1">
      <alignment wrapText="1"/>
    </xf>
    <xf numFmtId="0" fontId="7" fillId="0" borderId="0" xfId="0" applyFont="1" applyAlignment="1" applyProtection="1">
      <alignment wrapText="1"/>
      <protection locked="0"/>
    </xf>
    <xf numFmtId="0" fontId="15" fillId="0" borderId="0" xfId="0" applyFont="1"/>
    <xf numFmtId="0" fontId="6" fillId="0" borderId="0" xfId="0" applyFont="1" applyBorder="1" applyAlignment="1" applyProtection="1">
      <alignment horizontal="left" wrapText="1"/>
      <protection locked="0"/>
    </xf>
    <xf numFmtId="0" fontId="18" fillId="0" borderId="0" xfId="0" applyFont="1" applyBorder="1" applyAlignment="1" applyProtection="1">
      <alignment horizontal="left" wrapText="1"/>
      <protection locked="0"/>
    </xf>
    <xf numFmtId="0" fontId="19" fillId="0" borderId="0" xfId="0" applyFont="1"/>
    <xf numFmtId="0" fontId="20" fillId="0" borderId="0" xfId="0" applyFont="1" applyAlignment="1">
      <alignment horizontal="center"/>
    </xf>
    <xf numFmtId="0" fontId="20" fillId="0" borderId="0" xfId="0" applyFont="1"/>
    <xf numFmtId="0" fontId="16" fillId="0" borderId="28" xfId="0" applyFont="1" applyBorder="1"/>
    <xf numFmtId="0" fontId="0" fillId="0" borderId="28" xfId="0" applyBorder="1"/>
    <xf numFmtId="0" fontId="0" fillId="0" borderId="29" xfId="0" applyBorder="1"/>
    <xf numFmtId="0" fontId="0" fillId="0" borderId="30" xfId="0" applyBorder="1"/>
    <xf numFmtId="0" fontId="0" fillId="0" borderId="0" xfId="0" applyBorder="1"/>
    <xf numFmtId="0" fontId="0" fillId="0" borderId="31" xfId="0" applyBorder="1"/>
    <xf numFmtId="0" fontId="17" fillId="0" borderId="0" xfId="0" applyFont="1" applyBorder="1"/>
    <xf numFmtId="0" fontId="16" fillId="0" borderId="0" xfId="0" applyFont="1" applyBorder="1"/>
    <xf numFmtId="0" fontId="0" fillId="0" borderId="32" xfId="0" applyBorder="1"/>
    <xf numFmtId="0" fontId="0" fillId="0" borderId="33" xfId="0" applyBorder="1"/>
    <xf numFmtId="0" fontId="0" fillId="0" borderId="34" xfId="0" applyBorder="1"/>
    <xf numFmtId="0" fontId="21" fillId="0" borderId="27" xfId="0" applyFont="1" applyBorder="1" applyAlignment="1">
      <alignment horizontal="right"/>
    </xf>
    <xf numFmtId="0" fontId="22" fillId="0" borderId="30" xfId="0" applyFont="1" applyBorder="1" applyAlignment="1">
      <alignment horizontal="right"/>
    </xf>
    <xf numFmtId="0" fontId="23" fillId="0" borderId="30" xfId="0" applyFont="1" applyBorder="1" applyAlignment="1">
      <alignment horizontal="right"/>
    </xf>
    <xf numFmtId="0" fontId="10" fillId="2" borderId="3" xfId="0" applyFont="1" applyFill="1" applyBorder="1" applyAlignment="1" applyProtection="1">
      <alignment horizontal="left" vertical="center" wrapText="1"/>
    </xf>
    <xf numFmtId="0" fontId="10" fillId="2" borderId="4" xfId="0" applyFont="1" applyFill="1" applyBorder="1" applyAlignment="1" applyProtection="1">
      <alignment horizontal="left" vertical="center"/>
    </xf>
    <xf numFmtId="0" fontId="10" fillId="2" borderId="5" xfId="0" applyFont="1" applyFill="1" applyBorder="1" applyAlignment="1" applyProtection="1">
      <alignment horizontal="left" vertical="center"/>
    </xf>
    <xf numFmtId="0" fontId="6" fillId="0" borderId="21" xfId="0" applyFont="1" applyBorder="1" applyAlignment="1" applyProtection="1">
      <alignment horizontal="left" wrapText="1"/>
      <protection locked="0"/>
    </xf>
    <xf numFmtId="0" fontId="6" fillId="0" borderId="22" xfId="0" applyFont="1" applyBorder="1" applyAlignment="1" applyProtection="1">
      <alignment horizontal="left" wrapText="1"/>
      <protection locked="0"/>
    </xf>
    <xf numFmtId="0" fontId="6" fillId="0" borderId="23" xfId="0" applyFont="1" applyBorder="1" applyAlignment="1" applyProtection="1">
      <alignment horizontal="left" wrapText="1"/>
      <protection locked="0"/>
    </xf>
    <xf numFmtId="0" fontId="6" fillId="0" borderId="24" xfId="0" applyFont="1" applyBorder="1" applyAlignment="1" applyProtection="1">
      <alignment horizontal="left" wrapText="1"/>
      <protection locked="0"/>
    </xf>
    <xf numFmtId="0" fontId="6" fillId="0" borderId="25" xfId="0" applyFont="1" applyBorder="1" applyAlignment="1" applyProtection="1">
      <alignment horizontal="left" wrapText="1"/>
      <protection locked="0"/>
    </xf>
    <xf numFmtId="0" fontId="6" fillId="0" borderId="26" xfId="0" applyFont="1" applyBorder="1" applyAlignment="1" applyProtection="1">
      <alignment horizontal="left" wrapText="1"/>
      <protection locked="0"/>
    </xf>
    <xf numFmtId="0" fontId="6" fillId="0" borderId="18" xfId="0" applyFont="1" applyBorder="1" applyAlignment="1" applyProtection="1">
      <alignment horizontal="left" wrapText="1"/>
      <protection locked="0"/>
    </xf>
    <xf numFmtId="0" fontId="6" fillId="0" borderId="19" xfId="0" applyFont="1" applyBorder="1" applyAlignment="1" applyProtection="1">
      <alignment horizontal="left" wrapText="1"/>
      <protection locked="0"/>
    </xf>
    <xf numFmtId="0" fontId="6" fillId="0" borderId="20" xfId="0" applyFont="1" applyBorder="1" applyAlignment="1" applyProtection="1">
      <alignment horizontal="left" wrapText="1"/>
      <protection locked="0"/>
    </xf>
    <xf numFmtId="0" fontId="20" fillId="0" borderId="0" xfId="0" applyFont="1" applyAlignment="1">
      <alignment horizontal="center" vertical="center"/>
    </xf>
    <xf numFmtId="0" fontId="18" fillId="0" borderId="0" xfId="0" applyFont="1" applyBorder="1" applyAlignment="1" applyProtection="1">
      <alignment horizontal="center" vertical="center" wrapText="1"/>
      <protection locked="0"/>
    </xf>
    <xf numFmtId="0" fontId="0" fillId="0" borderId="0" xfId="0" applyAlignment="1">
      <alignment horizontal="center" vertical="center"/>
    </xf>
  </cellXfs>
  <cellStyles count="1">
    <cellStyle name="Normal" xfId="0" builtinId="0"/>
  </cellStyles>
  <dxfs count="16"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color rgb="FFCC0099"/>
        <name val="Calibri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color rgb="FFCC0099"/>
        <name val="Calibri"/>
        <family val="2"/>
        <scheme val="minor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color rgb="FFCC0099"/>
        <name val="Calibri"/>
        <family val="2"/>
        <scheme val="minor"/>
      </font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rgb="FFCC0099"/>
        <name val="Calibri"/>
        <family val="2"/>
        <scheme val="minor"/>
      </font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rgb="FFCC0099"/>
        <name val="Calibri"/>
        <family val="2"/>
        <scheme val="minor"/>
      </font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rgb="FFCC0099"/>
        <name val="Calibri"/>
        <family val="2"/>
        <scheme val="minor"/>
      </font>
      <protection locked="0" hidden="0"/>
    </dxf>
    <dxf>
      <border>
        <bottom style="medium">
          <color rgb="FF660033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Georgia"/>
        <family val="1"/>
        <scheme val="none"/>
      </font>
      <fill>
        <patternFill patternType="solid">
          <fgColor indexed="64"/>
          <bgColor rgb="FF660033"/>
        </patternFill>
      </fill>
      <alignment horizontal="center" vertical="top" textRotation="0" wrapText="1" indent="0" justifyLastLine="0" shrinkToFit="0" readingOrder="0"/>
      <border diagonalUp="0" diagonalDown="0">
        <left/>
        <right/>
        <top/>
        <bottom/>
      </border>
      <protection locked="1" hidden="0"/>
    </dxf>
    <dxf>
      <protection locked="0" hidden="0"/>
    </dxf>
    <dxf>
      <font>
        <strike val="0"/>
        <outline val="0"/>
        <shadow val="0"/>
        <u val="none"/>
        <vertAlign val="baseline"/>
        <sz val="11"/>
        <color rgb="FF002060"/>
        <name val="Calibri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1"/>
        <color rgb="FF002060"/>
        <name val="Calibri"/>
        <family val="2"/>
        <scheme val="minor"/>
      </font>
      <protection locked="0" hidden="0"/>
    </dxf>
    <dxf>
      <border>
        <bottom style="medium">
          <color rgb="FF660033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Georgia"/>
        <family val="1"/>
        <scheme val="none"/>
      </font>
      <fill>
        <patternFill patternType="solid">
          <fgColor indexed="64"/>
          <bgColor rgb="FF660033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1" hidden="0"/>
    </dxf>
  </dxfs>
  <tableStyles count="0" defaultTableStyle="TableStyleMedium2" defaultPivotStyle="PivotStyleLight16"/>
  <colors>
    <mruColors>
      <color rgb="FF660033"/>
      <color rgb="FFCC0099"/>
      <color rgb="FFFFDDFF"/>
      <color rgb="FFFF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431800</xdr:colOff>
      <xdr:row>82</xdr:row>
      <xdr:rowOff>25400</xdr:rowOff>
    </xdr:from>
    <xdr:to>
      <xdr:col>11</xdr:col>
      <xdr:colOff>1701800</xdr:colOff>
      <xdr:row>88</xdr:row>
      <xdr:rowOff>152400</xdr:rowOff>
    </xdr:to>
    <xdr:sp macro="" textlink="">
      <xdr:nvSpPr>
        <xdr:cNvPr id="8" name="Rounded Rectangle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15875000" y="1587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12</xdr:col>
      <xdr:colOff>342900</xdr:colOff>
      <xdr:row>95</xdr:row>
      <xdr:rowOff>88900</xdr:rowOff>
    </xdr:from>
    <xdr:to>
      <xdr:col>14</xdr:col>
      <xdr:colOff>266700</xdr:colOff>
      <xdr:row>102</xdr:row>
      <xdr:rowOff>25400</xdr:rowOff>
    </xdr:to>
    <xdr:sp macro="" textlink="">
      <xdr:nvSpPr>
        <xdr:cNvPr id="9" name="Rounded Rectangl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18415000" y="1841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16</xdr:col>
      <xdr:colOff>190500</xdr:colOff>
      <xdr:row>108</xdr:row>
      <xdr:rowOff>152400</xdr:rowOff>
    </xdr:from>
    <xdr:to>
      <xdr:col>18</xdr:col>
      <xdr:colOff>114300</xdr:colOff>
      <xdr:row>115</xdr:row>
      <xdr:rowOff>88900</xdr:rowOff>
    </xdr:to>
    <xdr:sp macro="" textlink="">
      <xdr:nvSpPr>
        <xdr:cNvPr id="10" name="Rounded Rectangl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20955000" y="2095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20</xdr:col>
      <xdr:colOff>38100</xdr:colOff>
      <xdr:row>122</xdr:row>
      <xdr:rowOff>25400</xdr:rowOff>
    </xdr:from>
    <xdr:to>
      <xdr:col>21</xdr:col>
      <xdr:colOff>635000</xdr:colOff>
      <xdr:row>128</xdr:row>
      <xdr:rowOff>152400</xdr:rowOff>
    </xdr:to>
    <xdr:sp macro="" textlink="">
      <xdr:nvSpPr>
        <xdr:cNvPr id="11" name="Rounded Rectangle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23495000" y="2349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23</xdr:col>
      <xdr:colOff>558800</xdr:colOff>
      <xdr:row>135</xdr:row>
      <xdr:rowOff>88900</xdr:rowOff>
    </xdr:from>
    <xdr:to>
      <xdr:col>25</xdr:col>
      <xdr:colOff>482600</xdr:colOff>
      <xdr:row>142</xdr:row>
      <xdr:rowOff>25400</xdr:rowOff>
    </xdr:to>
    <xdr:sp macro="" textlink="">
      <xdr:nvSpPr>
        <xdr:cNvPr id="12" name="Rounded Rectangle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26035000" y="2603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27</xdr:col>
      <xdr:colOff>406400</xdr:colOff>
      <xdr:row>148</xdr:row>
      <xdr:rowOff>152400</xdr:rowOff>
    </xdr:from>
    <xdr:to>
      <xdr:col>29</xdr:col>
      <xdr:colOff>330200</xdr:colOff>
      <xdr:row>155</xdr:row>
      <xdr:rowOff>88900</xdr:rowOff>
    </xdr:to>
    <xdr:sp macro="" textlink="">
      <xdr:nvSpPr>
        <xdr:cNvPr id="13" name="Rounded Rectangle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28575000" y="2857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31</xdr:col>
      <xdr:colOff>254000</xdr:colOff>
      <xdr:row>162</xdr:row>
      <xdr:rowOff>25400</xdr:rowOff>
    </xdr:from>
    <xdr:to>
      <xdr:col>33</xdr:col>
      <xdr:colOff>177800</xdr:colOff>
      <xdr:row>168</xdr:row>
      <xdr:rowOff>152400</xdr:rowOff>
    </xdr:to>
    <xdr:sp macro="" textlink="">
      <xdr:nvSpPr>
        <xdr:cNvPr id="14" name="Rounded Rectangle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31115000" y="3111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35</xdr:col>
      <xdr:colOff>101600</xdr:colOff>
      <xdr:row>175</xdr:row>
      <xdr:rowOff>88900</xdr:rowOff>
    </xdr:from>
    <xdr:to>
      <xdr:col>37</xdr:col>
      <xdr:colOff>25400</xdr:colOff>
      <xdr:row>182</xdr:row>
      <xdr:rowOff>25400</xdr:rowOff>
    </xdr:to>
    <xdr:sp macro="" textlink="">
      <xdr:nvSpPr>
        <xdr:cNvPr id="15" name="Rounded Rectangle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33655000" y="3365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38</xdr:col>
      <xdr:colOff>622300</xdr:colOff>
      <xdr:row>188</xdr:row>
      <xdr:rowOff>152400</xdr:rowOff>
    </xdr:from>
    <xdr:to>
      <xdr:col>40</xdr:col>
      <xdr:colOff>546100</xdr:colOff>
      <xdr:row>195</xdr:row>
      <xdr:rowOff>88900</xdr:rowOff>
    </xdr:to>
    <xdr:sp macro="" textlink="">
      <xdr:nvSpPr>
        <xdr:cNvPr id="16" name="Rounded Rectangle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36195000" y="3619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42</xdr:col>
      <xdr:colOff>469900</xdr:colOff>
      <xdr:row>202</xdr:row>
      <xdr:rowOff>25400</xdr:rowOff>
    </xdr:from>
    <xdr:to>
      <xdr:col>44</xdr:col>
      <xdr:colOff>393700</xdr:colOff>
      <xdr:row>208</xdr:row>
      <xdr:rowOff>152400</xdr:rowOff>
    </xdr:to>
    <xdr:sp macro="" textlink="">
      <xdr:nvSpPr>
        <xdr:cNvPr id="17" name="Rounded Rectangle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/>
      </xdr:nvSpPr>
      <xdr:spPr>
        <a:xfrm>
          <a:off x="38735000" y="3873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11</xdr:col>
      <xdr:colOff>431800</xdr:colOff>
      <xdr:row>82</xdr:row>
      <xdr:rowOff>25400</xdr:rowOff>
    </xdr:from>
    <xdr:to>
      <xdr:col>11</xdr:col>
      <xdr:colOff>1701800</xdr:colOff>
      <xdr:row>88</xdr:row>
      <xdr:rowOff>152400</xdr:rowOff>
    </xdr:to>
    <xdr:sp macro="" textlink="">
      <xdr:nvSpPr>
        <xdr:cNvPr id="24" name="Rounded Rectangle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15875000" y="1587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12</xdr:col>
      <xdr:colOff>342900</xdr:colOff>
      <xdr:row>95</xdr:row>
      <xdr:rowOff>88900</xdr:rowOff>
    </xdr:from>
    <xdr:to>
      <xdr:col>14</xdr:col>
      <xdr:colOff>266700</xdr:colOff>
      <xdr:row>102</xdr:row>
      <xdr:rowOff>25400</xdr:rowOff>
    </xdr:to>
    <xdr:sp macro="" textlink="">
      <xdr:nvSpPr>
        <xdr:cNvPr id="25" name="Rounded Rectangle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/>
      </xdr:nvSpPr>
      <xdr:spPr>
        <a:xfrm>
          <a:off x="18415000" y="1841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16</xdr:col>
      <xdr:colOff>190500</xdr:colOff>
      <xdr:row>108</xdr:row>
      <xdr:rowOff>152400</xdr:rowOff>
    </xdr:from>
    <xdr:to>
      <xdr:col>18</xdr:col>
      <xdr:colOff>114300</xdr:colOff>
      <xdr:row>115</xdr:row>
      <xdr:rowOff>88900</xdr:rowOff>
    </xdr:to>
    <xdr:sp macro="" textlink="">
      <xdr:nvSpPr>
        <xdr:cNvPr id="26" name="Rounded Rectangle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/>
      </xdr:nvSpPr>
      <xdr:spPr>
        <a:xfrm>
          <a:off x="20955000" y="2095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20</xdr:col>
      <xdr:colOff>38100</xdr:colOff>
      <xdr:row>122</xdr:row>
      <xdr:rowOff>25400</xdr:rowOff>
    </xdr:from>
    <xdr:to>
      <xdr:col>21</xdr:col>
      <xdr:colOff>635000</xdr:colOff>
      <xdr:row>128</xdr:row>
      <xdr:rowOff>152400</xdr:rowOff>
    </xdr:to>
    <xdr:sp macro="" textlink="">
      <xdr:nvSpPr>
        <xdr:cNvPr id="27" name="Rounded Rectangle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/>
      </xdr:nvSpPr>
      <xdr:spPr>
        <a:xfrm>
          <a:off x="23495000" y="2349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23</xdr:col>
      <xdr:colOff>558800</xdr:colOff>
      <xdr:row>135</xdr:row>
      <xdr:rowOff>88900</xdr:rowOff>
    </xdr:from>
    <xdr:to>
      <xdr:col>25</xdr:col>
      <xdr:colOff>482600</xdr:colOff>
      <xdr:row>142</xdr:row>
      <xdr:rowOff>25400</xdr:rowOff>
    </xdr:to>
    <xdr:sp macro="" textlink="">
      <xdr:nvSpPr>
        <xdr:cNvPr id="28" name="Rounded Rectangle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/>
      </xdr:nvSpPr>
      <xdr:spPr>
        <a:xfrm>
          <a:off x="26035000" y="2603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27</xdr:col>
      <xdr:colOff>406400</xdr:colOff>
      <xdr:row>148</xdr:row>
      <xdr:rowOff>152400</xdr:rowOff>
    </xdr:from>
    <xdr:to>
      <xdr:col>29</xdr:col>
      <xdr:colOff>330200</xdr:colOff>
      <xdr:row>155</xdr:row>
      <xdr:rowOff>88900</xdr:rowOff>
    </xdr:to>
    <xdr:sp macro="" textlink="">
      <xdr:nvSpPr>
        <xdr:cNvPr id="29" name="Rounded Rectangle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/>
      </xdr:nvSpPr>
      <xdr:spPr>
        <a:xfrm>
          <a:off x="28575000" y="2857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31</xdr:col>
      <xdr:colOff>254000</xdr:colOff>
      <xdr:row>162</xdr:row>
      <xdr:rowOff>25400</xdr:rowOff>
    </xdr:from>
    <xdr:to>
      <xdr:col>33</xdr:col>
      <xdr:colOff>177800</xdr:colOff>
      <xdr:row>168</xdr:row>
      <xdr:rowOff>152400</xdr:rowOff>
    </xdr:to>
    <xdr:sp macro="" textlink="">
      <xdr:nvSpPr>
        <xdr:cNvPr id="30" name="Rounded Rectangle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SpPr/>
      </xdr:nvSpPr>
      <xdr:spPr>
        <a:xfrm>
          <a:off x="31115000" y="3111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35</xdr:col>
      <xdr:colOff>101600</xdr:colOff>
      <xdr:row>175</xdr:row>
      <xdr:rowOff>88900</xdr:rowOff>
    </xdr:from>
    <xdr:to>
      <xdr:col>37</xdr:col>
      <xdr:colOff>25400</xdr:colOff>
      <xdr:row>182</xdr:row>
      <xdr:rowOff>25400</xdr:rowOff>
    </xdr:to>
    <xdr:sp macro="" textlink="">
      <xdr:nvSpPr>
        <xdr:cNvPr id="31" name="Rounded Rectangle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/>
      </xdr:nvSpPr>
      <xdr:spPr>
        <a:xfrm>
          <a:off x="33655000" y="3365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38</xdr:col>
      <xdr:colOff>622300</xdr:colOff>
      <xdr:row>188</xdr:row>
      <xdr:rowOff>152400</xdr:rowOff>
    </xdr:from>
    <xdr:to>
      <xdr:col>40</xdr:col>
      <xdr:colOff>546100</xdr:colOff>
      <xdr:row>195</xdr:row>
      <xdr:rowOff>88900</xdr:rowOff>
    </xdr:to>
    <xdr:sp macro="" textlink="">
      <xdr:nvSpPr>
        <xdr:cNvPr id="32" name="Rounded Rectangle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/>
      </xdr:nvSpPr>
      <xdr:spPr>
        <a:xfrm>
          <a:off x="36195000" y="3619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42</xdr:col>
      <xdr:colOff>469900</xdr:colOff>
      <xdr:row>202</xdr:row>
      <xdr:rowOff>25400</xdr:rowOff>
    </xdr:from>
    <xdr:to>
      <xdr:col>44</xdr:col>
      <xdr:colOff>393700</xdr:colOff>
      <xdr:row>208</xdr:row>
      <xdr:rowOff>152400</xdr:rowOff>
    </xdr:to>
    <xdr:sp macro="" textlink="">
      <xdr:nvSpPr>
        <xdr:cNvPr id="33" name="Rounded Rectangle 32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/>
      </xdr:nvSpPr>
      <xdr:spPr>
        <a:xfrm>
          <a:off x="38735000" y="3873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7</xdr:col>
      <xdr:colOff>28575</xdr:colOff>
      <xdr:row>12</xdr:row>
      <xdr:rowOff>28575</xdr:rowOff>
    </xdr:from>
    <xdr:to>
      <xdr:col>8</xdr:col>
      <xdr:colOff>9525</xdr:colOff>
      <xdr:row>14</xdr:row>
      <xdr:rowOff>38100</xdr:rowOff>
    </xdr:to>
    <xdr:sp macro="" textlink="">
      <xdr:nvSpPr>
        <xdr:cNvPr id="1028" name="Button 4" descr="Create Customer Journey Map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04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32004" rIns="36576" bIns="32004" anchor="ctr" upright="1"/>
        <a:lstStyle/>
        <a:p>
          <a:pPr algn="ctr" rtl="0">
            <a:defRPr sz="1000"/>
          </a:pPr>
          <a:r>
            <a:rPr lang="en-US" sz="1400" b="1" i="0" u="none" strike="noStrike" baseline="0">
              <a:solidFill>
                <a:srgbClr val="993366"/>
              </a:solidFill>
              <a:latin typeface="Calibri"/>
              <a:cs typeface="Calibri"/>
            </a:rPr>
            <a:t>Create Customer Journey Map</a:t>
          </a:r>
        </a:p>
      </xdr:txBody>
    </xdr:sp>
    <xdr:clientData fPrintsWithSheet="0"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8728826-6759-4D3E-AEB1-6448D358F80E}" name="Table3" displayName="Table3" ref="B3:E17" totalsRowShown="0">
  <tableColumns count="4">
    <tableColumn id="1" xr3:uid="{C0AB3761-E783-48D5-985B-4799BC6209DA}" name="S No"/>
    <tableColumn id="2" xr3:uid="{6E8534FD-C9E3-4CE3-9BF9-5406EDDBD27D}" name="Role "/>
    <tableColumn id="3" xr3:uid="{249E28C6-9ABC-4DC5-A637-0997C01AB972}" name="Name of Team  Member" dataDxfId="1"/>
    <tableColumn id="4" xr3:uid="{19D8E82B-5E9B-4007-9C59-3BC7C0833369}" name="Count" dataDxfId="0"/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08707AA-3B5A-4F8A-BB1D-16E7E220C02C}" name="Table1" displayName="Table1" ref="B16:C58" totalsRowShown="0" headerRowDxfId="15" dataDxfId="13" headerRowBorderDxfId="14">
  <tableColumns count="2">
    <tableColumn id="1" xr3:uid="{A1834E27-94EC-4053-8656-C0CB318E128C}" name="Step Number" dataDxfId="12"/>
    <tableColumn id="2" xr3:uid="{D6C2D0AD-C2F2-4490-B0EB-51ECE27D70FE}" name="Steps" dataDxfId="11"/>
  </tableColumns>
  <tableStyleInfo name="TableStyleLight1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61E96DA-2FC8-4379-93F2-4D648DEA3C15}" name="Table2" displayName="Table2" ref="D16:H58" totalsRowShown="0" headerRowDxfId="10" dataDxfId="8" headerRowBorderDxfId="9">
  <tableColumns count="5">
    <tableColumn id="2" xr3:uid="{4DCD6222-9668-4BE9-B0E8-A614070CB77C}" name="Negative Emotion" dataDxfId="7"/>
    <tableColumn id="3" xr3:uid="{DFC55628-5C2D-426C-9D40-7F02EDA38FB4}" name="High TAT" dataDxfId="6"/>
    <tableColumn id="4" xr3:uid="{3F4F6365-C778-4018-A452-6FAD76496835}" name="Opposes Intention" dataDxfId="5"/>
    <tableColumn id="5" xr3:uid="{41C8534F-B9D3-4A09-ACE1-1BDD1A45149B}" name="Trim Tab" dataDxfId="4">
      <calculatedColumnFormula>AVERAGE(Table2[[#This Row],[Negative Emotion]:[Opposes Intention]])</calculatedColumnFormula>
    </tableColumn>
    <tableColumn id="6" xr3:uid="{BE700835-D18A-4DE3-A809-981BE1CE6788}" name="Comments" dataDxfId="3"/>
  </tableColumns>
  <tableStyleInfo name="TableStyleLight1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7E02592F-DA7E-4A3A-BC73-8ED58B275F71}" name="Table4" displayName="Table4" ref="B6:C22" totalsRowShown="0" headerRowDxfId="2">
  <tableColumns count="2">
    <tableColumn id="1" xr3:uid="{5042A7E9-0391-491D-BC9B-B635CC74CA98}" name="S No"/>
    <tableColumn id="2" xr3:uid="{0FEC76BF-19EE-4E99-BD68-8A988551A70C}" name="ROBOTIC STEPS for Customer Journey step 4 - Trim tab step 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1.xm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53B760-C53B-42F3-8AAB-873D4AB03EDE}">
  <dimension ref="C1:G8"/>
  <sheetViews>
    <sheetView showGridLines="0" workbookViewId="0">
      <selection activeCell="C19" sqref="C19"/>
    </sheetView>
  </sheetViews>
  <sheetFormatPr defaultRowHeight="15"/>
  <cols>
    <col min="3" max="3" width="52.28515625" bestFit="1" customWidth="1"/>
  </cols>
  <sheetData>
    <row r="1" spans="3:7" ht="15.75" thickBot="1"/>
    <row r="2" spans="3:7" ht="26.25">
      <c r="C2" s="56" t="s">
        <v>27</v>
      </c>
      <c r="D2" s="45" t="s">
        <v>26</v>
      </c>
      <c r="E2" s="46"/>
      <c r="F2" s="46"/>
      <c r="G2" s="47"/>
    </row>
    <row r="3" spans="3:7">
      <c r="C3" s="48"/>
      <c r="D3" s="49"/>
      <c r="E3" s="49"/>
      <c r="F3" s="49"/>
      <c r="G3" s="50"/>
    </row>
    <row r="4" spans="3:7" ht="26.25">
      <c r="C4" s="57" t="s">
        <v>23</v>
      </c>
      <c r="D4" s="51" t="s">
        <v>24</v>
      </c>
      <c r="E4" s="49"/>
      <c r="F4" s="49"/>
      <c r="G4" s="50"/>
    </row>
    <row r="5" spans="3:7">
      <c r="C5" s="48"/>
      <c r="D5" s="49"/>
      <c r="E5" s="49"/>
      <c r="F5" s="49"/>
      <c r="G5" s="50"/>
    </row>
    <row r="6" spans="3:7" ht="23.25">
      <c r="C6" s="58" t="s">
        <v>21</v>
      </c>
      <c r="D6" s="52" t="s">
        <v>25</v>
      </c>
      <c r="E6" s="49"/>
      <c r="F6" s="49"/>
      <c r="G6" s="50"/>
    </row>
    <row r="7" spans="3:7" ht="15.75" thickBot="1">
      <c r="C7" s="53"/>
      <c r="D7" s="54"/>
      <c r="E7" s="54"/>
      <c r="F7" s="54"/>
      <c r="G7" s="55"/>
    </row>
    <row r="8" spans="3:7">
      <c r="C8" s="39"/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5CCB5-0335-46A8-B61D-26F3B04F9CD1}">
  <dimension ref="B3:I17"/>
  <sheetViews>
    <sheetView workbookViewId="0">
      <selection activeCell="C4" sqref="C4:E4"/>
    </sheetView>
  </sheetViews>
  <sheetFormatPr defaultRowHeight="15"/>
  <cols>
    <col min="3" max="3" width="25.85546875" bestFit="1" customWidth="1"/>
    <col min="4" max="4" width="32.28515625" customWidth="1"/>
    <col min="5" max="5" width="22.7109375" customWidth="1"/>
  </cols>
  <sheetData>
    <row r="3" spans="2:9" ht="21">
      <c r="B3" s="43" t="s">
        <v>22</v>
      </c>
      <c r="C3" s="44" t="s">
        <v>28</v>
      </c>
      <c r="D3" s="71" t="s">
        <v>34</v>
      </c>
      <c r="E3" s="71" t="s">
        <v>56</v>
      </c>
    </row>
    <row r="4" spans="2:9" ht="15.75" customHeight="1">
      <c r="B4">
        <v>1</v>
      </c>
      <c r="C4" s="41" t="s">
        <v>42</v>
      </c>
      <c r="D4" s="72" t="s">
        <v>43</v>
      </c>
      <c r="E4" s="73">
        <v>3</v>
      </c>
      <c r="F4" s="40"/>
      <c r="G4" s="40"/>
      <c r="H4" s="40"/>
      <c r="I4" s="40"/>
    </row>
    <row r="5" spans="2:9">
      <c r="B5">
        <v>2</v>
      </c>
      <c r="C5" t="s">
        <v>47</v>
      </c>
      <c r="D5" s="73" t="s">
        <v>44</v>
      </c>
      <c r="E5" s="73">
        <v>5</v>
      </c>
    </row>
    <row r="6" spans="2:9">
      <c r="B6">
        <v>3</v>
      </c>
      <c r="C6" t="s">
        <v>48</v>
      </c>
      <c r="D6" s="73" t="s">
        <v>45</v>
      </c>
      <c r="E6" s="73">
        <v>2</v>
      </c>
    </row>
    <row r="7" spans="2:9">
      <c r="B7">
        <v>4</v>
      </c>
      <c r="C7" t="s">
        <v>49</v>
      </c>
      <c r="D7" s="73" t="s">
        <v>46</v>
      </c>
      <c r="E7" s="73">
        <v>1</v>
      </c>
    </row>
    <row r="8" spans="2:9">
      <c r="D8" s="73"/>
      <c r="E8" s="73"/>
    </row>
    <row r="9" spans="2:9">
      <c r="D9" s="73"/>
      <c r="E9" s="73"/>
    </row>
    <row r="10" spans="2:9">
      <c r="D10" s="73"/>
      <c r="E10" s="73"/>
    </row>
    <row r="11" spans="2:9">
      <c r="D11" s="73"/>
      <c r="E11" s="73"/>
    </row>
    <row r="12" spans="2:9">
      <c r="D12" s="73"/>
      <c r="E12" s="73"/>
    </row>
    <row r="13" spans="2:9">
      <c r="D13" s="73"/>
      <c r="E13" s="73"/>
    </row>
    <row r="14" spans="2:9">
      <c r="D14" s="73"/>
      <c r="E14" s="73"/>
    </row>
    <row r="15" spans="2:9">
      <c r="D15" s="73"/>
      <c r="E15" s="73"/>
    </row>
    <row r="16" spans="2:9">
      <c r="D16" s="73"/>
      <c r="E16" s="73"/>
    </row>
    <row r="17" spans="4:5">
      <c r="D17" s="73"/>
      <c r="E17" s="73"/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F2573A-FEAE-4632-8EED-3B01D309CD71}">
  <sheetPr codeName="Sheet1"/>
  <dimension ref="A1:S58"/>
  <sheetViews>
    <sheetView showGridLines="0" topLeftCell="A7" zoomScale="120" zoomScaleNormal="120" workbookViewId="0">
      <selection activeCell="C20" sqref="C20"/>
    </sheetView>
  </sheetViews>
  <sheetFormatPr defaultColWidth="8.85546875" defaultRowHeight="15"/>
  <cols>
    <col min="2" max="2" width="11.42578125" customWidth="1"/>
    <col min="3" max="3" width="73.42578125" style="1" customWidth="1"/>
    <col min="4" max="4" width="13" style="1" customWidth="1"/>
    <col min="5" max="5" width="12.85546875" style="1" customWidth="1"/>
    <col min="6" max="6" width="15.140625" style="1" customWidth="1"/>
    <col min="7" max="7" width="9.42578125" style="21" customWidth="1"/>
    <col min="8" max="8" width="39.42578125" customWidth="1"/>
    <col min="9" max="9" width="4.42578125" customWidth="1"/>
    <col min="10" max="10" width="7.42578125" customWidth="1"/>
    <col min="11" max="11" width="44.85546875" customWidth="1"/>
    <col min="12" max="12" width="34.42578125" customWidth="1"/>
  </cols>
  <sheetData>
    <row r="1" spans="1:19" ht="26.25">
      <c r="A1" s="21"/>
      <c r="B1" s="13" t="s">
        <v>0</v>
      </c>
      <c r="C1" s="4"/>
      <c r="D1"/>
      <c r="E1"/>
      <c r="F1"/>
      <c r="G1"/>
      <c r="K1" s="21"/>
      <c r="L1" s="21"/>
      <c r="M1" s="21"/>
      <c r="N1" s="21"/>
      <c r="O1" s="21"/>
      <c r="P1" s="21"/>
      <c r="Q1" s="21"/>
      <c r="R1" s="21"/>
      <c r="S1" s="21"/>
    </row>
    <row r="2" spans="1:19">
      <c r="A2" s="21"/>
      <c r="B2" s="21"/>
      <c r="C2" s="14"/>
      <c r="D2" s="2"/>
      <c r="E2"/>
      <c r="F2"/>
      <c r="G2"/>
      <c r="K2" s="21"/>
      <c r="L2" s="21"/>
      <c r="M2" s="21"/>
      <c r="N2" s="21"/>
      <c r="O2" s="21"/>
      <c r="P2" s="21"/>
      <c r="Q2" s="21"/>
      <c r="R2" s="21"/>
      <c r="S2" s="21"/>
    </row>
    <row r="3" spans="1:19" ht="15" customHeight="1">
      <c r="A3" s="21"/>
      <c r="B3" s="7"/>
      <c r="C3" s="16" t="s">
        <v>1</v>
      </c>
      <c r="D3" s="2"/>
      <c r="E3"/>
      <c r="F3"/>
      <c r="G3"/>
      <c r="K3" s="21"/>
      <c r="L3" s="21"/>
      <c r="M3" s="21"/>
      <c r="N3" s="21"/>
      <c r="O3" s="21"/>
      <c r="P3" s="21"/>
      <c r="Q3" s="21"/>
      <c r="R3" s="21"/>
      <c r="S3" s="21"/>
    </row>
    <row r="4" spans="1:19" ht="15" customHeight="1" thickBot="1">
      <c r="A4" s="21"/>
      <c r="B4" s="7"/>
      <c r="C4" s="22"/>
      <c r="D4" s="8"/>
      <c r="E4" s="5"/>
      <c r="F4" s="15"/>
      <c r="G4" s="15"/>
      <c r="H4" s="15"/>
      <c r="I4" s="18"/>
      <c r="K4" s="15"/>
      <c r="L4" s="15"/>
      <c r="M4" s="21"/>
      <c r="N4" s="21"/>
      <c r="O4" s="21"/>
      <c r="P4" s="21"/>
      <c r="Q4" s="21"/>
      <c r="R4" s="21"/>
      <c r="S4" s="21"/>
    </row>
    <row r="5" spans="1:19" ht="31.5" customHeight="1">
      <c r="A5" s="21"/>
      <c r="B5" s="7"/>
      <c r="C5" s="35" t="s">
        <v>2</v>
      </c>
      <c r="D5" s="62" t="s">
        <v>35</v>
      </c>
      <c r="E5" s="63"/>
      <c r="F5" s="63"/>
      <c r="G5" s="63"/>
      <c r="H5" s="63"/>
      <c r="I5" s="63"/>
      <c r="J5" s="64"/>
      <c r="K5" s="15"/>
      <c r="L5" s="15"/>
      <c r="M5" s="21"/>
      <c r="N5" s="21"/>
      <c r="O5" s="21"/>
      <c r="P5" s="21"/>
      <c r="Q5" s="21"/>
      <c r="R5" s="21"/>
      <c r="S5" s="21"/>
    </row>
    <row r="6" spans="1:19" ht="31.5" customHeight="1">
      <c r="A6" s="21"/>
      <c r="B6" s="7"/>
      <c r="C6" s="36" t="s">
        <v>3</v>
      </c>
      <c r="D6" s="65" t="s">
        <v>36</v>
      </c>
      <c r="E6" s="66"/>
      <c r="F6" s="66"/>
      <c r="G6" s="66"/>
      <c r="H6" s="66"/>
      <c r="I6" s="66"/>
      <c r="J6" s="67"/>
      <c r="K6" s="15"/>
      <c r="L6" s="15"/>
      <c r="M6" s="21"/>
      <c r="N6" s="21"/>
      <c r="O6" s="21"/>
      <c r="P6" s="21"/>
      <c r="Q6" s="21"/>
      <c r="R6" s="21"/>
      <c r="S6" s="21"/>
    </row>
    <row r="7" spans="1:19" ht="15" customHeight="1">
      <c r="A7" s="21"/>
      <c r="B7" s="7"/>
      <c r="C7" s="36" t="s">
        <v>41</v>
      </c>
      <c r="D7" s="65" t="s">
        <v>42</v>
      </c>
      <c r="E7" s="66"/>
      <c r="F7" s="66"/>
      <c r="G7" s="66"/>
      <c r="H7" s="66"/>
      <c r="I7" s="66"/>
      <c r="J7" s="67"/>
      <c r="K7" s="15"/>
      <c r="L7" s="15"/>
      <c r="M7" s="21"/>
      <c r="N7" s="21"/>
      <c r="O7" s="21"/>
      <c r="P7" s="21"/>
      <c r="Q7" s="21"/>
      <c r="R7" s="21"/>
      <c r="S7" s="21"/>
    </row>
    <row r="8" spans="1:19" ht="31.5">
      <c r="A8" s="21"/>
      <c r="B8" s="7"/>
      <c r="C8" s="36" t="s">
        <v>4</v>
      </c>
      <c r="D8" s="65" t="s">
        <v>6</v>
      </c>
      <c r="E8" s="66"/>
      <c r="F8" s="66"/>
      <c r="G8" s="66"/>
      <c r="H8" s="66"/>
      <c r="I8" s="66"/>
      <c r="J8" s="67"/>
      <c r="K8" s="15"/>
      <c r="L8" s="15"/>
      <c r="M8" s="21"/>
      <c r="N8" s="21"/>
      <c r="O8" s="21"/>
      <c r="P8" s="21"/>
      <c r="Q8" s="21"/>
      <c r="R8" s="21"/>
      <c r="S8" s="21"/>
    </row>
    <row r="9" spans="1:19" ht="16.5" thickBot="1">
      <c r="A9" s="21"/>
      <c r="B9" s="7"/>
      <c r="C9" s="37" t="s">
        <v>5</v>
      </c>
      <c r="D9" s="68"/>
      <c r="E9" s="69"/>
      <c r="F9" s="69"/>
      <c r="G9" s="69"/>
      <c r="H9" s="69"/>
      <c r="I9" s="69"/>
      <c r="J9" s="70"/>
      <c r="K9" s="15"/>
      <c r="L9" s="15"/>
      <c r="M9" s="21"/>
      <c r="N9" s="21"/>
      <c r="O9" s="21"/>
      <c r="P9" s="21"/>
      <c r="Q9" s="21"/>
      <c r="R9" s="21"/>
      <c r="S9" s="21"/>
    </row>
    <row r="10" spans="1:19" s="21" customFormat="1" ht="16.5" thickBot="1">
      <c r="B10" s="7"/>
      <c r="C10" s="17"/>
      <c r="D10" s="9"/>
      <c r="E10" s="5"/>
      <c r="F10" s="5"/>
      <c r="G10" s="6"/>
      <c r="H10" s="6"/>
      <c r="I10" s="6"/>
      <c r="J10" s="6"/>
      <c r="K10" s="15"/>
      <c r="L10" s="15"/>
    </row>
    <row r="11" spans="1:19" s="21" customFormat="1">
      <c r="C11" s="59" t="s">
        <v>7</v>
      </c>
      <c r="D11" s="27">
        <v>3</v>
      </c>
      <c r="E11" s="28" t="s">
        <v>8</v>
      </c>
      <c r="F11" s="29"/>
      <c r="I11" s="15"/>
      <c r="J11" s="15"/>
    </row>
    <row r="12" spans="1:19" s="21" customFormat="1">
      <c r="C12" s="60"/>
      <c r="D12" s="30">
        <v>2</v>
      </c>
      <c r="E12" s="26" t="s">
        <v>9</v>
      </c>
      <c r="F12" s="31"/>
      <c r="I12" s="15"/>
      <c r="J12" s="15"/>
    </row>
    <row r="13" spans="1:19" s="21" customFormat="1">
      <c r="C13" s="60"/>
      <c r="D13" s="30">
        <v>1</v>
      </c>
      <c r="E13" s="26" t="s">
        <v>10</v>
      </c>
      <c r="F13" s="31"/>
      <c r="I13" s="15"/>
      <c r="J13" s="15"/>
    </row>
    <row r="14" spans="1:19" s="21" customFormat="1" ht="15" customHeight="1" thickBot="1">
      <c r="B14" s="7"/>
      <c r="C14" s="61"/>
      <c r="D14" s="32">
        <v>0</v>
      </c>
      <c r="E14" s="33" t="s">
        <v>11</v>
      </c>
      <c r="F14" s="34"/>
      <c r="K14" s="15"/>
      <c r="L14" s="15"/>
    </row>
    <row r="15" spans="1:19" s="21" customFormat="1" ht="16.5" thickBot="1">
      <c r="B15" s="7"/>
      <c r="C15" s="17"/>
      <c r="D15" s="9"/>
      <c r="E15" s="5"/>
      <c r="F15" s="5"/>
      <c r="G15" s="15"/>
      <c r="H15" s="6"/>
      <c r="I15" s="6"/>
      <c r="J15" s="6"/>
      <c r="K15" s="15"/>
      <c r="L15" s="15"/>
    </row>
    <row r="16" spans="1:19" s="23" customFormat="1" ht="34.5" customHeight="1" thickBot="1">
      <c r="B16" s="19" t="s">
        <v>12</v>
      </c>
      <c r="C16" s="20" t="s">
        <v>13</v>
      </c>
      <c r="D16" s="20" t="s">
        <v>14</v>
      </c>
      <c r="E16" s="20" t="s">
        <v>15</v>
      </c>
      <c r="F16" s="20" t="s">
        <v>16</v>
      </c>
      <c r="G16" s="20" t="s">
        <v>17</v>
      </c>
      <c r="H16" s="20" t="s">
        <v>18</v>
      </c>
      <c r="I16" s="10"/>
      <c r="J16" s="10"/>
    </row>
    <row r="17" spans="2:19" ht="15.75">
      <c r="B17" s="11">
        <v>1</v>
      </c>
      <c r="C17" s="12" t="s">
        <v>32</v>
      </c>
      <c r="D17" s="5">
        <v>0</v>
      </c>
      <c r="E17" s="5">
        <v>0</v>
      </c>
      <c r="F17" s="5">
        <v>0</v>
      </c>
      <c r="G17" s="15">
        <f>AVERAGE(Table2[[#This Row],[Negative Emotion]:[Opposes Intention]])</f>
        <v>0</v>
      </c>
      <c r="H17" s="6"/>
      <c r="I17" s="3"/>
      <c r="J17" s="3"/>
      <c r="K17" s="21"/>
      <c r="L17" s="21"/>
      <c r="M17" s="21"/>
      <c r="N17" s="21"/>
      <c r="O17" s="21"/>
      <c r="P17" s="21"/>
      <c r="Q17" s="21"/>
      <c r="R17" s="21"/>
      <c r="S17" s="21"/>
    </row>
    <row r="18" spans="2:19" ht="15.75">
      <c r="B18" s="11">
        <v>2</v>
      </c>
      <c r="C18" s="12" t="s">
        <v>33</v>
      </c>
      <c r="D18" s="5">
        <v>1</v>
      </c>
      <c r="E18" s="5">
        <v>2</v>
      </c>
      <c r="F18" s="5">
        <v>0</v>
      </c>
      <c r="G18" s="15">
        <f>AVERAGE(Table2[[#This Row],[Negative Emotion]:[Opposes Intention]])</f>
        <v>1</v>
      </c>
      <c r="H18" s="6" t="s">
        <v>39</v>
      </c>
      <c r="I18" s="3"/>
      <c r="J18" s="3"/>
      <c r="K18" s="21"/>
      <c r="L18" s="21"/>
      <c r="M18" s="21">
        <v>3</v>
      </c>
      <c r="N18" s="21"/>
      <c r="O18" s="21"/>
      <c r="P18" s="21"/>
      <c r="Q18" s="21"/>
      <c r="R18" s="21"/>
      <c r="S18" s="21"/>
    </row>
    <row r="19" spans="2:19" ht="15.75">
      <c r="B19" s="11">
        <v>3</v>
      </c>
      <c r="C19" s="12" t="s">
        <v>37</v>
      </c>
      <c r="D19" s="5">
        <v>3</v>
      </c>
      <c r="E19" s="5">
        <v>3</v>
      </c>
      <c r="F19" s="5">
        <v>3</v>
      </c>
      <c r="G19" s="15">
        <f>AVERAGE(Table2[[#This Row],[Negative Emotion]:[Opposes Intention]])</f>
        <v>3</v>
      </c>
      <c r="H19" s="6"/>
      <c r="I19" s="3"/>
      <c r="J19" s="3"/>
      <c r="K19" s="21"/>
      <c r="L19" s="21"/>
      <c r="M19" s="21">
        <v>2</v>
      </c>
      <c r="N19" s="21"/>
      <c r="O19" s="21"/>
      <c r="P19" s="21"/>
      <c r="Q19" s="21"/>
      <c r="R19" s="21"/>
      <c r="S19" s="21"/>
    </row>
    <row r="20" spans="2:19" ht="15.75">
      <c r="B20" s="11">
        <v>4</v>
      </c>
      <c r="C20" s="12" t="s">
        <v>58</v>
      </c>
      <c r="D20" s="5">
        <v>3</v>
      </c>
      <c r="E20" s="5">
        <v>3</v>
      </c>
      <c r="F20" s="5">
        <v>3</v>
      </c>
      <c r="G20" s="15">
        <f>AVERAGE(Table2[[#This Row],[Negative Emotion]:[Opposes Intention]])</f>
        <v>3</v>
      </c>
      <c r="H20" s="6"/>
      <c r="I20" s="3"/>
      <c r="J20" s="3"/>
      <c r="K20" s="21"/>
      <c r="L20" s="21"/>
      <c r="M20" s="21">
        <v>1</v>
      </c>
      <c r="N20" s="21"/>
      <c r="O20" s="21"/>
      <c r="P20" s="21"/>
      <c r="Q20" s="21"/>
      <c r="R20" s="21"/>
      <c r="S20" s="21"/>
    </row>
    <row r="21" spans="2:19" ht="15.75">
      <c r="B21" s="11">
        <v>5</v>
      </c>
      <c r="C21" s="12" t="s">
        <v>38</v>
      </c>
      <c r="D21" s="5">
        <v>2</v>
      </c>
      <c r="E21" s="5">
        <v>3</v>
      </c>
      <c r="F21" s="5">
        <v>3</v>
      </c>
      <c r="G21" s="15">
        <f>AVERAGE(Table2[[#This Row],[Negative Emotion]:[Opposes Intention]])</f>
        <v>2.6666666666666665</v>
      </c>
      <c r="H21" s="6"/>
      <c r="I21" s="3"/>
      <c r="J21" s="3"/>
      <c r="K21" s="21"/>
      <c r="L21" s="21"/>
      <c r="M21" s="21">
        <v>0</v>
      </c>
      <c r="N21" s="21"/>
      <c r="O21" s="21"/>
      <c r="P21" s="21"/>
      <c r="Q21" s="21"/>
      <c r="R21" s="21"/>
      <c r="S21" s="21"/>
    </row>
    <row r="22" spans="2:19" ht="15.75">
      <c r="B22" s="11">
        <v>6</v>
      </c>
      <c r="C22" s="38" t="s">
        <v>40</v>
      </c>
      <c r="D22" s="5">
        <v>0</v>
      </c>
      <c r="E22" s="5">
        <v>0</v>
      </c>
      <c r="F22" s="5">
        <v>0</v>
      </c>
      <c r="G22" s="15">
        <f>AVERAGE(Table2[[#This Row],[Negative Emotion]:[Opposes Intention]])</f>
        <v>0</v>
      </c>
      <c r="H22" s="6"/>
      <c r="I22" s="3"/>
      <c r="J22" s="3"/>
      <c r="K22" s="21"/>
      <c r="L22" s="21"/>
      <c r="M22" s="21"/>
      <c r="N22" s="21"/>
      <c r="O22" s="21"/>
      <c r="P22" s="21"/>
      <c r="Q22" s="21"/>
      <c r="R22" s="21"/>
      <c r="S22" s="21"/>
    </row>
    <row r="23" spans="2:19" ht="15.75">
      <c r="B23" s="11">
        <v>7</v>
      </c>
      <c r="C23" s="12" t="s">
        <v>59</v>
      </c>
      <c r="D23" s="5">
        <v>3</v>
      </c>
      <c r="E23" s="5">
        <v>3</v>
      </c>
      <c r="F23" s="5">
        <v>3</v>
      </c>
      <c r="G23" s="15">
        <f>AVERAGE(Table2[[#This Row],[Negative Emotion]:[Opposes Intention]])</f>
        <v>3</v>
      </c>
      <c r="H23" s="6"/>
      <c r="I23" s="3"/>
      <c r="J23" s="3"/>
      <c r="K23" s="21"/>
      <c r="L23" s="21"/>
      <c r="M23" s="21"/>
      <c r="N23" s="21"/>
      <c r="O23" s="21"/>
      <c r="P23" s="21"/>
      <c r="Q23" s="21"/>
      <c r="R23" s="21"/>
      <c r="S23" s="21"/>
    </row>
    <row r="24" spans="2:19" ht="15.75">
      <c r="B24" s="11">
        <v>8</v>
      </c>
      <c r="C24" s="12" t="s">
        <v>60</v>
      </c>
      <c r="D24" s="5">
        <v>2</v>
      </c>
      <c r="E24" s="5">
        <v>2</v>
      </c>
      <c r="F24" s="5">
        <v>0</v>
      </c>
      <c r="G24" s="15">
        <f>AVERAGE(Table2[[#This Row],[Negative Emotion]:[Opposes Intention]])</f>
        <v>1.3333333333333333</v>
      </c>
      <c r="H24" s="6"/>
      <c r="I24" s="3"/>
      <c r="J24" s="3"/>
      <c r="K24" s="21"/>
      <c r="L24" s="21"/>
      <c r="M24" s="21"/>
      <c r="N24" s="21"/>
      <c r="O24" s="21"/>
      <c r="P24" s="21"/>
      <c r="Q24" s="21"/>
      <c r="R24" s="21"/>
      <c r="S24" s="21"/>
    </row>
    <row r="25" spans="2:19" ht="15.75">
      <c r="B25" s="11">
        <v>9</v>
      </c>
      <c r="C25" s="12" t="s">
        <v>57</v>
      </c>
      <c r="D25" s="5">
        <v>2</v>
      </c>
      <c r="E25" s="5">
        <v>2</v>
      </c>
      <c r="F25" s="5">
        <v>2</v>
      </c>
      <c r="G25" s="15">
        <f>AVERAGE(Table2[[#This Row],[Negative Emotion]:[Opposes Intention]])</f>
        <v>2</v>
      </c>
      <c r="H25" s="6"/>
      <c r="I25" s="3"/>
      <c r="J25" s="3"/>
      <c r="K25" s="21"/>
      <c r="L25" s="21"/>
      <c r="M25" s="21"/>
      <c r="N25" s="21"/>
      <c r="O25" s="21"/>
      <c r="P25" s="21"/>
      <c r="Q25" s="21"/>
      <c r="R25" s="21"/>
      <c r="S25" s="21"/>
    </row>
    <row r="26" spans="2:19" ht="15.75">
      <c r="B26" s="11"/>
      <c r="C26" s="12"/>
      <c r="D26" s="5">
        <v>0</v>
      </c>
      <c r="E26" s="5">
        <v>0</v>
      </c>
      <c r="F26" s="5">
        <v>0</v>
      </c>
      <c r="G26" s="15">
        <f>AVERAGE(Table2[[#This Row],[Negative Emotion]:[Opposes Intention]])</f>
        <v>0</v>
      </c>
      <c r="H26" s="6"/>
      <c r="I26" s="3"/>
      <c r="J26" s="3"/>
      <c r="K26" s="21"/>
      <c r="L26" s="21"/>
      <c r="M26" s="21"/>
      <c r="N26" s="21"/>
      <c r="O26" s="21"/>
      <c r="P26" s="21"/>
      <c r="Q26" s="21"/>
      <c r="R26" s="21"/>
      <c r="S26" s="21"/>
    </row>
    <row r="27" spans="2:19" ht="15.75">
      <c r="B27" s="11"/>
      <c r="C27" s="12"/>
      <c r="D27" s="5">
        <v>1</v>
      </c>
      <c r="E27" s="5">
        <v>1</v>
      </c>
      <c r="F27" s="5">
        <v>1</v>
      </c>
      <c r="G27" s="15">
        <f>AVERAGE(Table2[[#This Row],[Negative Emotion]:[Opposes Intention]])</f>
        <v>1</v>
      </c>
      <c r="H27" s="6"/>
      <c r="I27" s="3"/>
      <c r="J27" s="3"/>
      <c r="K27" s="21"/>
      <c r="L27" s="21"/>
      <c r="M27" s="21"/>
      <c r="N27" s="21"/>
      <c r="O27" s="21"/>
      <c r="P27" s="21"/>
      <c r="Q27" s="21"/>
      <c r="R27" s="21"/>
      <c r="S27" s="21"/>
    </row>
    <row r="28" spans="2:19" ht="15.75">
      <c r="B28" s="11"/>
      <c r="C28" s="12"/>
      <c r="D28" s="5">
        <v>0</v>
      </c>
      <c r="E28" s="5">
        <v>0</v>
      </c>
      <c r="F28" s="5">
        <v>0</v>
      </c>
      <c r="G28" s="15">
        <f>AVERAGE(Table2[[#This Row],[Negative Emotion]:[Opposes Intention]])</f>
        <v>0</v>
      </c>
      <c r="H28" s="6"/>
      <c r="I28" s="3"/>
      <c r="J28" s="3"/>
      <c r="K28" s="21"/>
      <c r="L28" s="21"/>
      <c r="M28" s="21"/>
      <c r="N28" s="21"/>
      <c r="O28" s="21"/>
      <c r="P28" s="21"/>
      <c r="Q28" s="21"/>
      <c r="R28" s="21"/>
      <c r="S28" s="21"/>
    </row>
    <row r="29" spans="2:19" ht="15.75">
      <c r="B29" s="11"/>
      <c r="C29" s="12"/>
      <c r="D29" s="5">
        <v>0</v>
      </c>
      <c r="E29" s="5">
        <v>0</v>
      </c>
      <c r="F29" s="5">
        <v>0</v>
      </c>
      <c r="G29" s="15">
        <f>AVERAGE(Table2[[#This Row],[Negative Emotion]:[Opposes Intention]])</f>
        <v>0</v>
      </c>
      <c r="H29" s="6"/>
      <c r="I29" s="3"/>
      <c r="J29" s="3"/>
      <c r="K29" s="21"/>
      <c r="L29" s="21"/>
      <c r="M29" s="21"/>
      <c r="N29" s="21"/>
      <c r="O29" s="21"/>
      <c r="P29" s="21"/>
      <c r="Q29" s="21"/>
      <c r="R29" s="21"/>
      <c r="S29" s="21"/>
    </row>
    <row r="30" spans="2:19" ht="15.75">
      <c r="B30" s="11"/>
      <c r="C30" s="12"/>
      <c r="D30" s="5">
        <v>0</v>
      </c>
      <c r="E30" s="5">
        <v>2</v>
      </c>
      <c r="F30" s="5">
        <v>0</v>
      </c>
      <c r="G30" s="15">
        <f>AVERAGE(Table2[[#This Row],[Negative Emotion]:[Opposes Intention]])</f>
        <v>0.66666666666666663</v>
      </c>
      <c r="H30" s="6"/>
      <c r="I30" s="3"/>
      <c r="J30" s="3"/>
      <c r="K30" s="21"/>
      <c r="L30" s="21"/>
      <c r="M30" s="21"/>
      <c r="N30" s="21"/>
      <c r="O30" s="21"/>
      <c r="P30" s="21"/>
      <c r="Q30" s="21"/>
      <c r="R30" s="21"/>
      <c r="S30" s="21"/>
    </row>
    <row r="31" spans="2:19" ht="15.75">
      <c r="B31" s="11"/>
      <c r="C31" s="12"/>
      <c r="D31" s="5">
        <v>0</v>
      </c>
      <c r="E31" s="5">
        <v>3</v>
      </c>
      <c r="F31" s="5">
        <v>0</v>
      </c>
      <c r="G31" s="15">
        <f>AVERAGE(Table2[[#This Row],[Negative Emotion]:[Opposes Intention]])</f>
        <v>1</v>
      </c>
      <c r="H31" s="6"/>
      <c r="I31" s="3"/>
      <c r="J31" s="3"/>
      <c r="K31" s="21"/>
      <c r="L31" s="21"/>
      <c r="M31" s="21"/>
      <c r="N31" s="21"/>
      <c r="O31" s="21"/>
      <c r="P31" s="21"/>
      <c r="Q31" s="21"/>
      <c r="R31" s="21"/>
      <c r="S31" s="21"/>
    </row>
    <row r="32" spans="2:19" ht="15.75">
      <c r="B32" s="11"/>
      <c r="C32" s="12"/>
      <c r="D32" s="5">
        <v>0</v>
      </c>
      <c r="E32" s="5">
        <v>0</v>
      </c>
      <c r="F32" s="5">
        <v>0</v>
      </c>
      <c r="G32" s="15">
        <f>AVERAGE(Table2[[#This Row],[Negative Emotion]:[Opposes Intention]])</f>
        <v>0</v>
      </c>
      <c r="H32" s="6"/>
      <c r="I32" s="3"/>
      <c r="J32" s="3"/>
      <c r="K32" s="21"/>
      <c r="L32" s="21"/>
      <c r="M32" s="21"/>
      <c r="N32" s="21"/>
      <c r="O32" s="21"/>
      <c r="P32" s="21"/>
      <c r="Q32" s="21"/>
      <c r="R32" s="21"/>
      <c r="S32" s="21"/>
    </row>
    <row r="33" spans="2:19" ht="15.75">
      <c r="B33" s="11"/>
      <c r="C33" s="25"/>
      <c r="D33" s="5">
        <v>0</v>
      </c>
      <c r="E33" s="5">
        <v>0</v>
      </c>
      <c r="F33" s="5">
        <v>0</v>
      </c>
      <c r="G33" s="24">
        <f>AVERAGE(Table2[[#This Row],[Negative Emotion]:[Opposes Intention]])</f>
        <v>0</v>
      </c>
      <c r="H33" s="6"/>
      <c r="K33" s="21"/>
      <c r="L33" s="21"/>
      <c r="M33" s="21"/>
      <c r="N33" s="21"/>
      <c r="O33" s="21"/>
      <c r="P33" s="21"/>
      <c r="Q33" s="21"/>
      <c r="R33" s="21"/>
      <c r="S33" s="21"/>
    </row>
    <row r="34" spans="2:19" ht="15.75">
      <c r="B34" s="11"/>
      <c r="C34" s="25" t="s">
        <v>19</v>
      </c>
      <c r="D34" s="5">
        <v>0</v>
      </c>
      <c r="E34" s="5">
        <v>0</v>
      </c>
      <c r="F34" s="5">
        <v>0</v>
      </c>
      <c r="G34" s="24">
        <f>AVERAGE(Table2[[#This Row],[Negative Emotion]:[Opposes Intention]])</f>
        <v>0</v>
      </c>
      <c r="H34" s="6"/>
      <c r="K34" s="21"/>
      <c r="L34" s="21"/>
      <c r="M34" s="21"/>
      <c r="N34" s="21"/>
      <c r="O34" s="21"/>
      <c r="P34" s="21"/>
      <c r="Q34" s="21"/>
      <c r="R34" s="21"/>
      <c r="S34" s="21"/>
    </row>
    <row r="35" spans="2:19" ht="15.75">
      <c r="B35" s="11"/>
      <c r="C35" s="12"/>
      <c r="D35" s="5">
        <v>0</v>
      </c>
      <c r="E35" s="5">
        <v>0</v>
      </c>
      <c r="F35" s="5">
        <v>0</v>
      </c>
      <c r="G35" s="24">
        <f>AVERAGE(Table2[[#This Row],[Negative Emotion]:[Opposes Intention]])</f>
        <v>0</v>
      </c>
      <c r="H35" s="6"/>
      <c r="K35" s="21"/>
      <c r="L35" s="21"/>
      <c r="M35" s="21"/>
      <c r="N35" s="21"/>
      <c r="O35" s="21"/>
      <c r="P35" s="21"/>
      <c r="Q35" s="21"/>
      <c r="R35" s="21"/>
      <c r="S35" s="21"/>
    </row>
    <row r="36" spans="2:19" ht="15.75">
      <c r="B36" s="11"/>
      <c r="C36" s="25" t="s">
        <v>20</v>
      </c>
      <c r="D36" s="5">
        <v>0</v>
      </c>
      <c r="E36" s="5">
        <v>0</v>
      </c>
      <c r="F36" s="5">
        <v>0</v>
      </c>
      <c r="G36" s="24">
        <f>AVERAGE(Table2[[#This Row],[Negative Emotion]:[Opposes Intention]])</f>
        <v>0</v>
      </c>
      <c r="H36" s="6"/>
      <c r="K36" s="21"/>
      <c r="L36" s="21"/>
      <c r="M36" s="21"/>
      <c r="N36" s="21"/>
      <c r="O36" s="21"/>
      <c r="P36" s="21"/>
      <c r="Q36" s="21"/>
      <c r="R36" s="21"/>
      <c r="S36" s="21"/>
    </row>
    <row r="37" spans="2:19" ht="15.75">
      <c r="B37" s="11"/>
      <c r="C37" s="12"/>
      <c r="D37" s="5">
        <v>0</v>
      </c>
      <c r="E37" s="5">
        <v>0</v>
      </c>
      <c r="F37" s="5">
        <v>0</v>
      </c>
      <c r="G37" s="24">
        <f>AVERAGE(Table2[[#This Row],[Negative Emotion]:[Opposes Intention]])</f>
        <v>0</v>
      </c>
      <c r="H37" s="6"/>
      <c r="K37" s="21"/>
      <c r="L37" s="21"/>
      <c r="M37" s="21"/>
      <c r="N37" s="21"/>
      <c r="O37" s="21"/>
      <c r="P37" s="21"/>
      <c r="Q37" s="21"/>
      <c r="R37" s="21"/>
      <c r="S37" s="21"/>
    </row>
    <row r="38" spans="2:19" ht="15.75">
      <c r="B38" s="11"/>
      <c r="C38" s="12"/>
      <c r="D38" s="5">
        <v>0</v>
      </c>
      <c r="E38" s="5">
        <v>0</v>
      </c>
      <c r="F38" s="5">
        <v>0</v>
      </c>
      <c r="G38" s="24">
        <f>AVERAGE(Table2[[#This Row],[Negative Emotion]:[Opposes Intention]])</f>
        <v>0</v>
      </c>
      <c r="H38" s="6"/>
      <c r="K38" s="21"/>
      <c r="L38" s="21"/>
      <c r="M38" s="21"/>
      <c r="N38" s="21"/>
      <c r="O38" s="21"/>
      <c r="P38" s="21"/>
      <c r="Q38" s="21"/>
      <c r="R38" s="21"/>
      <c r="S38" s="21"/>
    </row>
    <row r="39" spans="2:19" ht="15.75">
      <c r="B39" s="11"/>
      <c r="C39" s="12"/>
      <c r="D39" s="5">
        <v>0</v>
      </c>
      <c r="E39" s="5">
        <v>0</v>
      </c>
      <c r="F39" s="5">
        <v>0</v>
      </c>
      <c r="G39" s="24">
        <f>AVERAGE(Table2[[#This Row],[Negative Emotion]:[Opposes Intention]])</f>
        <v>0</v>
      </c>
      <c r="H39" s="6"/>
      <c r="K39" s="21"/>
      <c r="L39" s="21"/>
      <c r="M39" s="21"/>
      <c r="N39" s="21"/>
      <c r="O39" s="21"/>
      <c r="P39" s="21"/>
      <c r="Q39" s="21"/>
      <c r="R39" s="21"/>
      <c r="S39" s="21"/>
    </row>
    <row r="40" spans="2:19" ht="15.75">
      <c r="B40" s="11"/>
      <c r="C40" s="12"/>
      <c r="D40" s="5">
        <v>0</v>
      </c>
      <c r="E40" s="5">
        <v>0</v>
      </c>
      <c r="F40" s="5">
        <v>0</v>
      </c>
      <c r="G40" s="24">
        <f>AVERAGE(Table2[[#This Row],[Negative Emotion]:[Opposes Intention]])</f>
        <v>0</v>
      </c>
      <c r="H40" s="6"/>
      <c r="K40" s="21"/>
      <c r="L40" s="21"/>
      <c r="M40" s="21"/>
      <c r="N40" s="21"/>
      <c r="O40" s="21"/>
      <c r="P40" s="21"/>
      <c r="Q40" s="21"/>
      <c r="R40" s="21"/>
      <c r="S40" s="21"/>
    </row>
    <row r="41" spans="2:19" ht="15.75">
      <c r="B41" s="11"/>
      <c r="C41" s="12"/>
      <c r="D41" s="5">
        <v>0</v>
      </c>
      <c r="E41" s="5">
        <v>0</v>
      </c>
      <c r="F41" s="5">
        <v>0</v>
      </c>
      <c r="G41" s="24">
        <f>AVERAGE(Table2[[#This Row],[Negative Emotion]:[Opposes Intention]])</f>
        <v>0</v>
      </c>
      <c r="H41" s="6"/>
      <c r="K41" s="21"/>
      <c r="L41" s="21"/>
      <c r="M41" s="21"/>
      <c r="N41" s="21"/>
      <c r="O41" s="21"/>
      <c r="P41" s="21"/>
      <c r="Q41" s="21"/>
      <c r="R41" s="21"/>
      <c r="S41" s="21"/>
    </row>
    <row r="42" spans="2:19" ht="15.75">
      <c r="B42" s="11"/>
      <c r="C42" s="12"/>
      <c r="D42" s="5">
        <v>0</v>
      </c>
      <c r="E42" s="5">
        <v>0</v>
      </c>
      <c r="F42" s="5">
        <v>0</v>
      </c>
      <c r="G42" s="24">
        <f>AVERAGE(Table2[[#This Row],[Negative Emotion]:[Opposes Intention]])</f>
        <v>0</v>
      </c>
      <c r="H42" s="6"/>
      <c r="K42" s="21"/>
      <c r="L42" s="21"/>
      <c r="M42" s="21"/>
      <c r="N42" s="21"/>
      <c r="O42" s="21"/>
      <c r="P42" s="21"/>
      <c r="Q42" s="21"/>
      <c r="R42" s="21"/>
      <c r="S42" s="21"/>
    </row>
    <row r="43" spans="2:19" ht="15.75">
      <c r="B43" s="11"/>
      <c r="C43" s="12"/>
      <c r="D43" s="5">
        <v>0</v>
      </c>
      <c r="E43" s="5">
        <v>0</v>
      </c>
      <c r="F43" s="5">
        <v>0</v>
      </c>
      <c r="G43" s="24">
        <f>AVERAGE(Table2[[#This Row],[Negative Emotion]:[Opposes Intention]])</f>
        <v>0</v>
      </c>
      <c r="H43" s="6"/>
      <c r="K43" s="21"/>
      <c r="L43" s="21"/>
      <c r="M43" s="21"/>
      <c r="N43" s="21"/>
      <c r="O43" s="21"/>
      <c r="P43" s="21"/>
      <c r="Q43" s="21"/>
      <c r="R43" s="21"/>
      <c r="S43" s="21"/>
    </row>
    <row r="44" spans="2:19" ht="15.75">
      <c r="B44" s="11"/>
      <c r="C44" s="12"/>
      <c r="D44" s="5">
        <v>0</v>
      </c>
      <c r="E44" s="5">
        <v>0</v>
      </c>
      <c r="F44" s="5">
        <v>0</v>
      </c>
      <c r="G44" s="24">
        <f>AVERAGE(Table2[[#This Row],[Negative Emotion]:[Opposes Intention]])</f>
        <v>0</v>
      </c>
      <c r="H44" s="6"/>
      <c r="K44" s="21"/>
      <c r="L44" s="21"/>
      <c r="M44" s="21"/>
      <c r="N44" s="21"/>
      <c r="O44" s="21"/>
      <c r="P44" s="21"/>
      <c r="Q44" s="21"/>
      <c r="R44" s="21"/>
      <c r="S44" s="21"/>
    </row>
    <row r="45" spans="2:19" ht="15.75">
      <c r="B45" s="11"/>
      <c r="C45" s="12"/>
      <c r="D45" s="5">
        <v>0</v>
      </c>
      <c r="E45" s="5">
        <v>0</v>
      </c>
      <c r="F45" s="5">
        <v>0</v>
      </c>
      <c r="G45" s="24">
        <f>AVERAGE(Table2[[#This Row],[Negative Emotion]:[Opposes Intention]])</f>
        <v>0</v>
      </c>
      <c r="H45" s="6"/>
      <c r="K45" s="21"/>
      <c r="L45" s="21"/>
      <c r="M45" s="21"/>
      <c r="N45" s="21"/>
      <c r="O45" s="21"/>
      <c r="P45" s="21"/>
      <c r="Q45" s="21"/>
      <c r="R45" s="21"/>
      <c r="S45" s="21"/>
    </row>
    <row r="46" spans="2:19" ht="15.75">
      <c r="B46" s="11"/>
      <c r="C46" s="12"/>
      <c r="D46" s="5">
        <v>0</v>
      </c>
      <c r="E46" s="5">
        <v>0</v>
      </c>
      <c r="F46" s="5">
        <v>0</v>
      </c>
      <c r="G46" s="24">
        <f>AVERAGE(Table2[[#This Row],[Negative Emotion]:[Opposes Intention]])</f>
        <v>0</v>
      </c>
      <c r="H46" s="6"/>
      <c r="K46" s="21"/>
      <c r="L46" s="21"/>
      <c r="M46" s="21"/>
      <c r="N46" s="21"/>
      <c r="O46" s="21"/>
      <c r="P46" s="21"/>
      <c r="Q46" s="21"/>
      <c r="R46" s="21"/>
      <c r="S46" s="21"/>
    </row>
    <row r="47" spans="2:19" ht="15.75">
      <c r="B47" s="11"/>
      <c r="C47" s="12"/>
      <c r="D47" s="5">
        <v>0</v>
      </c>
      <c r="E47" s="5">
        <v>0</v>
      </c>
      <c r="F47" s="5">
        <v>0</v>
      </c>
      <c r="G47" s="24">
        <f>AVERAGE(Table2[[#This Row],[Negative Emotion]:[Opposes Intention]])</f>
        <v>0</v>
      </c>
      <c r="H47" s="6"/>
      <c r="K47" s="21"/>
      <c r="L47" s="21"/>
      <c r="M47" s="21"/>
      <c r="N47" s="21"/>
      <c r="O47" s="21"/>
      <c r="P47" s="21"/>
      <c r="Q47" s="21"/>
      <c r="R47" s="21"/>
      <c r="S47" s="21"/>
    </row>
    <row r="48" spans="2:19" ht="15.75">
      <c r="B48" s="11"/>
      <c r="C48" s="12"/>
      <c r="D48" s="5">
        <v>0</v>
      </c>
      <c r="E48" s="5">
        <v>0</v>
      </c>
      <c r="F48" s="5">
        <v>0</v>
      </c>
      <c r="G48" s="24">
        <f>AVERAGE(Table2[[#This Row],[Negative Emotion]:[Opposes Intention]])</f>
        <v>0</v>
      </c>
      <c r="H48" s="6"/>
    </row>
    <row r="49" spans="2:8">
      <c r="B49" s="11"/>
      <c r="C49" s="4"/>
      <c r="D49" s="5">
        <v>0</v>
      </c>
      <c r="E49" s="5">
        <v>0</v>
      </c>
      <c r="F49" s="5">
        <v>0</v>
      </c>
      <c r="G49" s="24">
        <f>AVERAGE(Table2[[#This Row],[Negative Emotion]:[Opposes Intention]])</f>
        <v>0</v>
      </c>
      <c r="H49" s="6"/>
    </row>
    <row r="50" spans="2:8">
      <c r="B50" s="11"/>
      <c r="C50" s="4"/>
      <c r="D50" s="5">
        <v>0</v>
      </c>
      <c r="E50" s="5">
        <v>0</v>
      </c>
      <c r="F50" s="5">
        <v>0</v>
      </c>
      <c r="G50" s="24">
        <f>AVERAGE(Table2[[#This Row],[Negative Emotion]:[Opposes Intention]])</f>
        <v>0</v>
      </c>
      <c r="H50" s="6"/>
    </row>
    <row r="51" spans="2:8">
      <c r="B51" s="11"/>
      <c r="C51" s="4"/>
      <c r="D51" s="5">
        <v>0</v>
      </c>
      <c r="E51" s="5">
        <v>0</v>
      </c>
      <c r="F51" s="5">
        <v>0</v>
      </c>
      <c r="G51" s="24">
        <f>AVERAGE(Table2[[#This Row],[Negative Emotion]:[Opposes Intention]])</f>
        <v>0</v>
      </c>
      <c r="H51" s="6"/>
    </row>
    <row r="52" spans="2:8">
      <c r="B52" s="11"/>
      <c r="C52" s="4"/>
      <c r="D52" s="5">
        <v>0</v>
      </c>
      <c r="E52" s="5">
        <v>0</v>
      </c>
      <c r="F52" s="5">
        <v>0</v>
      </c>
      <c r="G52" s="24">
        <f>AVERAGE(Table2[[#This Row],[Negative Emotion]:[Opposes Intention]])</f>
        <v>0</v>
      </c>
      <c r="H52" s="6"/>
    </row>
    <row r="53" spans="2:8">
      <c r="B53" s="11"/>
      <c r="C53" s="4"/>
      <c r="D53" s="5">
        <v>0</v>
      </c>
      <c r="E53" s="5">
        <v>0</v>
      </c>
      <c r="F53" s="5">
        <v>0</v>
      </c>
      <c r="G53" s="24">
        <f>AVERAGE(Table2[[#This Row],[Negative Emotion]:[Opposes Intention]])</f>
        <v>0</v>
      </c>
      <c r="H53" s="6"/>
    </row>
    <row r="54" spans="2:8">
      <c r="B54" s="11"/>
      <c r="C54" s="4"/>
      <c r="D54" s="5">
        <v>0</v>
      </c>
      <c r="E54" s="5">
        <v>0</v>
      </c>
      <c r="F54" s="5">
        <v>0</v>
      </c>
      <c r="G54" s="24">
        <f>AVERAGE(Table2[[#This Row],[Negative Emotion]:[Opposes Intention]])</f>
        <v>0</v>
      </c>
      <c r="H54" s="6"/>
    </row>
    <row r="55" spans="2:8">
      <c r="B55" s="11"/>
      <c r="C55" s="4"/>
      <c r="D55" s="5">
        <v>0</v>
      </c>
      <c r="E55" s="5">
        <v>0</v>
      </c>
      <c r="F55" s="5">
        <v>0</v>
      </c>
      <c r="G55" s="24">
        <f>AVERAGE(Table2[[#This Row],[Negative Emotion]:[Opposes Intention]])</f>
        <v>0</v>
      </c>
      <c r="H55" s="6"/>
    </row>
    <row r="56" spans="2:8">
      <c r="B56" s="11"/>
      <c r="C56" s="4"/>
      <c r="D56" s="5">
        <v>0</v>
      </c>
      <c r="E56" s="5">
        <v>0</v>
      </c>
      <c r="F56" s="5">
        <v>0</v>
      </c>
      <c r="G56" s="24">
        <f>AVERAGE(Table2[[#This Row],[Negative Emotion]:[Opposes Intention]])</f>
        <v>0</v>
      </c>
      <c r="H56" s="6"/>
    </row>
    <row r="57" spans="2:8">
      <c r="B57" s="11"/>
      <c r="C57" s="4"/>
      <c r="D57" s="5">
        <v>0</v>
      </c>
      <c r="E57" s="5">
        <v>0</v>
      </c>
      <c r="F57" s="5">
        <v>0</v>
      </c>
      <c r="G57" s="24">
        <f>AVERAGE(Table2[[#This Row],[Negative Emotion]:[Opposes Intention]])</f>
        <v>0</v>
      </c>
      <c r="H57" s="6"/>
    </row>
    <row r="58" spans="2:8">
      <c r="B58" s="11"/>
      <c r="C58" s="4"/>
      <c r="D58" s="5">
        <v>0</v>
      </c>
      <c r="E58" s="5">
        <v>0</v>
      </c>
      <c r="F58" s="5">
        <v>0</v>
      </c>
      <c r="G58" s="24">
        <f>AVERAGE(Table2[[#This Row],[Negative Emotion]:[Opposes Intention]])</f>
        <v>0</v>
      </c>
      <c r="H58" s="6"/>
    </row>
  </sheetData>
  <sheetProtection insertRows="0" deleteRows="0"/>
  <mergeCells count="6">
    <mergeCell ref="C11:C14"/>
    <mergeCell ref="D5:J5"/>
    <mergeCell ref="D6:J6"/>
    <mergeCell ref="D7:J7"/>
    <mergeCell ref="D8:J8"/>
    <mergeCell ref="D9:J9"/>
  </mergeCells>
  <conditionalFormatting sqref="E11:E13">
    <cfRule type="iconSet" priority="5">
      <iconSet iconSet="4RedToBlack" showValue="0">
        <cfvo type="percent" val="0"/>
        <cfvo type="num" val="0" gte="0"/>
        <cfvo type="num" val="1" gte="0"/>
        <cfvo type="num" val="3"/>
      </iconSet>
    </cfRule>
  </conditionalFormatting>
  <conditionalFormatting sqref="E14">
    <cfRule type="iconSet" priority="3">
      <iconSet iconSet="4RedToBlack" showValue="0">
        <cfvo type="percent" val="0"/>
        <cfvo type="num" val="0" gte="0"/>
        <cfvo type="num" val="1" gte="0"/>
        <cfvo type="num" val="3"/>
      </iconSet>
    </cfRule>
  </conditionalFormatting>
  <conditionalFormatting sqref="I4">
    <cfRule type="iconSet" priority="9">
      <iconSet iconSet="4RedToBlack" showValue="0">
        <cfvo type="percent" val="0"/>
        <cfvo type="num" val="0" gte="0"/>
        <cfvo type="num" val="1" gte="0"/>
        <cfvo type="num" val="3"/>
      </iconSet>
    </cfRule>
  </conditionalFormatting>
  <dataValidations count="1">
    <dataValidation type="list" showInputMessage="1" showErrorMessage="1" sqref="D17:F58" xr:uid="{C45FD224-55C0-4510-9DB5-85E7AFB29730}">
      <formula1>$M$18:$M$22</formula1>
    </dataValidation>
  </dataValidations>
  <pageMargins left="0.7" right="0.7" top="0.75" bottom="0.75" header="0.3" footer="0.3"/>
  <pageSetup orientation="portrait" r:id="rId1"/>
  <drawing r:id="rId2"/>
  <legacyDrawing r:id="rId3"/>
  <tableParts count="2">
    <tablePart r:id="rId4"/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8" id="{00000000-000E-0000-0000-000003000000}">
            <x14:iconSet iconSet="4RedToBlack" showValue="0" custom="1">
              <x14:cfvo type="percent">
                <xm:f>0</xm:f>
              </x14:cfvo>
              <x14:cfvo type="num" gte="0">
                <xm:f>0</xm:f>
              </x14:cfvo>
              <x14:cfvo type="num" gte="0">
                <xm:f>1</xm:f>
              </x14:cfvo>
              <x14:cfvo type="num">
                <xm:f>3</xm:f>
              </x14:cfvo>
              <x14:cfIcon iconSet="3Symbols2" iconId="2"/>
              <x14:cfIcon iconSet="3ArrowsGray" iconId="0"/>
              <x14:cfIcon iconSet="3TrafficLights1" iconId="1"/>
              <x14:cfIcon iconSet="4RedToBlack" iconId="3"/>
            </x14:iconSet>
          </x14:cfRule>
          <xm:sqref>D17:G19 D21:G58 D20</xm:sqref>
        </x14:conditionalFormatting>
        <x14:conditionalFormatting xmlns:xm="http://schemas.microsoft.com/office/excel/2006/main">
          <x14:cfRule type="iconSet" priority="2" id="{06EE0F31-98A5-417E-959E-EA371CF531E9}">
            <x14:iconSet iconSet="4RedToBlack" showValue="0" custom="1">
              <x14:cfvo type="percent">
                <xm:f>0</xm:f>
              </x14:cfvo>
              <x14:cfvo type="num" gte="0">
                <xm:f>0</xm:f>
              </x14:cfvo>
              <x14:cfvo type="num" gte="0">
                <xm:f>1</xm:f>
              </x14:cfvo>
              <x14:cfvo type="num">
                <xm:f>3</xm:f>
              </x14:cfvo>
              <x14:cfIcon iconSet="3Symbols2" iconId="2"/>
              <x14:cfIcon iconSet="3ArrowsGray" iconId="0"/>
              <x14:cfIcon iconSet="3TrafficLights1" iconId="1"/>
              <x14:cfIcon iconSet="4RedToBlack" iconId="3"/>
            </x14:iconSet>
          </x14:cfRule>
          <xm:sqref>D11:D14</xm:sqref>
        </x14:conditionalFormatting>
        <x14:conditionalFormatting xmlns:xm="http://schemas.microsoft.com/office/excel/2006/main">
          <x14:cfRule type="iconSet" priority="1" id="{45BFD5DE-A5CD-485F-A1C7-9386FE17E1ED}">
            <x14:iconSet iconSet="4RedToBlack" showValue="0" custom="1">
              <x14:cfvo type="percent">
                <xm:f>0</xm:f>
              </x14:cfvo>
              <x14:cfvo type="num" gte="0">
                <xm:f>0</xm:f>
              </x14:cfvo>
              <x14:cfvo type="num" gte="0">
                <xm:f>1</xm:f>
              </x14:cfvo>
              <x14:cfvo type="num">
                <xm:f>3</xm:f>
              </x14:cfvo>
              <x14:cfIcon iconSet="3Symbols2" iconId="2"/>
              <x14:cfIcon iconSet="3ArrowsGray" iconId="0"/>
              <x14:cfIcon iconSet="3TrafficLights1" iconId="1"/>
              <x14:cfIcon iconSet="4RedToBlack" iconId="3"/>
            </x14:iconSet>
          </x14:cfRule>
          <xm:sqref>E20:G20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5E49FA-DF70-4030-A0B6-96240A7F63C2}">
  <dimension ref="B2:C27"/>
  <sheetViews>
    <sheetView tabSelected="1" topLeftCell="A4" zoomScale="170" zoomScaleNormal="170" workbookViewId="0">
      <selection activeCell="C13" sqref="C13"/>
    </sheetView>
  </sheetViews>
  <sheetFormatPr defaultRowHeight="15"/>
  <cols>
    <col min="2" max="2" width="17.7109375" customWidth="1"/>
    <col min="3" max="3" width="61.5703125" customWidth="1"/>
  </cols>
  <sheetData>
    <row r="2" spans="2:3">
      <c r="B2" s="39" t="s">
        <v>62</v>
      </c>
      <c r="C2" t="s">
        <v>36</v>
      </c>
    </row>
    <row r="3" spans="2:3">
      <c r="B3" s="39" t="s">
        <v>63</v>
      </c>
      <c r="C3" t="s">
        <v>42</v>
      </c>
    </row>
    <row r="4" spans="2:3">
      <c r="B4" s="39" t="s">
        <v>64</v>
      </c>
      <c r="C4" t="s">
        <v>65</v>
      </c>
    </row>
    <row r="6" spans="2:3" ht="15.75">
      <c r="B6" s="42" t="s">
        <v>22</v>
      </c>
      <c r="C6" s="42" t="s">
        <v>61</v>
      </c>
    </row>
    <row r="7" spans="2:3">
      <c r="B7">
        <v>1</v>
      </c>
      <c r="C7" t="s">
        <v>66</v>
      </c>
    </row>
    <row r="8" spans="2:3">
      <c r="B8">
        <v>2</v>
      </c>
      <c r="C8" t="s">
        <v>50</v>
      </c>
    </row>
    <row r="9" spans="2:3">
      <c r="B9">
        <v>3</v>
      </c>
      <c r="C9" t="s">
        <v>31</v>
      </c>
    </row>
    <row r="10" spans="2:3">
      <c r="B10">
        <v>4</v>
      </c>
      <c r="C10" t="s">
        <v>29</v>
      </c>
    </row>
    <row r="11" spans="2:3">
      <c r="B11">
        <v>5</v>
      </c>
      <c r="C11" t="s">
        <v>30</v>
      </c>
    </row>
    <row r="12" spans="2:3">
      <c r="B12">
        <v>6</v>
      </c>
      <c r="C12" t="s">
        <v>51</v>
      </c>
    </row>
    <row r="13" spans="2:3">
      <c r="B13">
        <v>7</v>
      </c>
      <c r="C13" t="s">
        <v>52</v>
      </c>
    </row>
    <row r="14" spans="2:3">
      <c r="B14">
        <v>8</v>
      </c>
      <c r="C14" t="s">
        <v>53</v>
      </c>
    </row>
    <row r="15" spans="2:3">
      <c r="B15">
        <v>9</v>
      </c>
      <c r="C15" t="s">
        <v>54</v>
      </c>
    </row>
    <row r="16" spans="2:3">
      <c r="B16">
        <v>10</v>
      </c>
      <c r="C16" t="s">
        <v>55</v>
      </c>
    </row>
    <row r="27" spans="3:3">
      <c r="C27">
        <v>2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D2EB01ADEBCD64E83604B7604CB38E0" ma:contentTypeVersion="2" ma:contentTypeDescription="Create a new document." ma:contentTypeScope="" ma:versionID="b45dfdd9c33772f0095fce538aaf4764">
  <xsd:schema xmlns:xsd="http://www.w3.org/2001/XMLSchema" xmlns:xs="http://www.w3.org/2001/XMLSchema" xmlns:p="http://schemas.microsoft.com/office/2006/metadata/properties" xmlns:ns2="64b14699-a483-46cf-b5e1-dd3523746250" targetNamespace="http://schemas.microsoft.com/office/2006/metadata/properties" ma:root="true" ma:fieldsID="b8686f17cb7056e434a9775ce175ef02" ns2:_="">
    <xsd:import namespace="64b14699-a483-46cf-b5e1-dd3523746250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4b14699-a483-46cf-b5e1-dd352374625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6109F360-EE2E-40D8-BC5D-DB47CA0544F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4b14699-a483-46cf-b5e1-dd352374625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ADC6CBCA-B428-47E4-A7D4-F71E2CD26F80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D2C9C475-2D3A-4345-933C-0523A17F31B7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DOJO Docket </vt:lpstr>
      <vt:lpstr>Roles- Members </vt:lpstr>
      <vt:lpstr>PUX Trim Tab</vt:lpstr>
      <vt:lpstr>Robotic steps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Anandan Kumaran</dc:creator>
  <cp:keywords/>
  <dc:description/>
  <cp:lastModifiedBy>Anandan Kumaran</cp:lastModifiedBy>
  <cp:revision/>
  <dcterms:created xsi:type="dcterms:W3CDTF">2020-03-13T05:41:35Z</dcterms:created>
  <dcterms:modified xsi:type="dcterms:W3CDTF">2020-11-27T10:18:11Z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0x010100AD2EB01ADEBCD64E83604B7604CB38E0</vt:lpwstr>
  </property>
</Properties>
</file>